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3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IJAY BHUSHAN SINGH\Desktop\Company\"/>
    </mc:Choice>
  </mc:AlternateContent>
  <xr:revisionPtr revIDLastSave="0" documentId="13_ncr:1_{DEA5CE85-8575-44FF-9389-25DEFD2B648C}" xr6:coauthVersionLast="47" xr6:coauthVersionMax="47" xr10:uidLastSave="{00000000-0000-0000-0000-000000000000}"/>
  <bookViews>
    <workbookView xWindow="-108" yWindow="-108" windowWidth="23256" windowHeight="13176" tabRatio="918" xr2:uid="{00000000-000D-0000-FFFF-FFFF00000000}"/>
  </bookViews>
  <sheets>
    <sheet name="Sheet1 - Given Sheet" sheetId="1" r:id="rId1"/>
    <sheet name="Analysis" sheetId="2" r:id="rId2"/>
    <sheet name="Product by Sales" sheetId="3" r:id="rId3"/>
    <sheet name="MOM_Growth" sheetId="5" r:id="rId4"/>
    <sheet name="Product_IDs Lookup Sheet" sheetId="7" r:id="rId5"/>
    <sheet name="Price Lookup" sheetId="8" r:id="rId6"/>
    <sheet name="Sales by Category and Region" sheetId="13" r:id="rId7"/>
    <sheet name="Visulaization" sheetId="9" r:id="rId8"/>
    <sheet name="Dashboard" sheetId="11" r:id="rId9"/>
    <sheet name="Key Insights and Analysis " sheetId="14" r:id="rId10"/>
  </sheets>
  <calcPr calcId="191029"/>
  <pivotCaches>
    <pivotCache cacheId="0" r:id="rId11"/>
    <pivotCache cacheId="1" r:id="rId12"/>
    <pivotCache cacheId="2" r:id="rId13"/>
  </pivotCaches>
</workbook>
</file>

<file path=xl/calcChain.xml><?xml version="1.0" encoding="utf-8"?>
<calcChain xmlns="http://schemas.openxmlformats.org/spreadsheetml/2006/main">
  <c r="H22" i="8" l="1"/>
  <c r="B2" i="14"/>
  <c r="C3" i="8"/>
  <c r="C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" i="8"/>
  <c r="B3" i="8"/>
  <c r="B4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" i="8"/>
  <c r="B3" i="7"/>
  <c r="B4" i="7"/>
  <c r="B5" i="7"/>
  <c r="B6" i="7"/>
  <c r="B7" i="7"/>
  <c r="B8" i="7"/>
  <c r="B9" i="7"/>
  <c r="B10" i="7"/>
  <c r="B11" i="7"/>
  <c r="B12" i="7"/>
  <c r="B13" i="7"/>
  <c r="B14" i="7"/>
  <c r="B15" i="7"/>
  <c r="B16" i="7"/>
  <c r="B17" i="7"/>
  <c r="B18" i="7"/>
  <c r="B19" i="7"/>
  <c r="B20" i="7"/>
  <c r="B21" i="7"/>
  <c r="B2" i="7"/>
  <c r="B15" i="5"/>
  <c r="B14" i="5"/>
  <c r="B13" i="5"/>
  <c r="B12" i="5"/>
  <c r="B11" i="5"/>
  <c r="B10" i="5"/>
  <c r="B9" i="5"/>
  <c r="B8" i="5"/>
  <c r="B7" i="5"/>
  <c r="B6" i="5"/>
  <c r="B5" i="5"/>
  <c r="B4" i="5"/>
  <c r="B8" i="2"/>
  <c r="B9" i="2"/>
  <c r="B7" i="2"/>
  <c r="B6" i="2"/>
  <c r="B5" i="2"/>
  <c r="B2" i="2"/>
  <c r="B1" i="2"/>
  <c r="C12" i="5" l="1"/>
  <c r="C10" i="5"/>
  <c r="C13" i="5"/>
  <c r="C6" i="5"/>
  <c r="C7" i="5"/>
  <c r="C8" i="5"/>
  <c r="C9" i="5"/>
  <c r="C14" i="5"/>
  <c r="C15" i="5"/>
  <c r="C5" i="5"/>
  <c r="C11" i="5"/>
</calcChain>
</file>

<file path=xl/sharedStrings.xml><?xml version="1.0" encoding="utf-8"?>
<sst xmlns="http://schemas.openxmlformats.org/spreadsheetml/2006/main" count="2834" uniqueCount="223">
  <si>
    <t>Order_ID</t>
  </si>
  <si>
    <t>Customer_ID</t>
  </si>
  <si>
    <t>Order_Date</t>
  </si>
  <si>
    <t>Region</t>
  </si>
  <si>
    <t>Category</t>
  </si>
  <si>
    <t>Product</t>
  </si>
  <si>
    <t>Quantity</t>
  </si>
  <si>
    <t>Unit_Price</t>
  </si>
  <si>
    <t>Total_Amount</t>
  </si>
  <si>
    <t>Product_ID</t>
  </si>
  <si>
    <t>CUST1083</t>
  </si>
  <si>
    <t>CUST1024</t>
  </si>
  <si>
    <t>CUST1038</t>
  </si>
  <si>
    <t>CUST1089</t>
  </si>
  <si>
    <t>CUST1064</t>
  </si>
  <si>
    <t>CUST1018</t>
  </si>
  <si>
    <t>CUST1002</t>
  </si>
  <si>
    <t>CUST1078</t>
  </si>
  <si>
    <t>CUST1006</t>
  </si>
  <si>
    <t>CUST1034</t>
  </si>
  <si>
    <t>CUST1062</t>
  </si>
  <si>
    <t>CUST1045</t>
  </si>
  <si>
    <t>CUST1088</t>
  </si>
  <si>
    <t>CUST1033</t>
  </si>
  <si>
    <t>CUST1012</t>
  </si>
  <si>
    <t>CUST1035</t>
  </si>
  <si>
    <t>CUST1014</t>
  </si>
  <si>
    <t>CUST1052</t>
  </si>
  <si>
    <t>CUST1043</t>
  </si>
  <si>
    <t>CUST1086</t>
  </si>
  <si>
    <t>CUST1028</t>
  </si>
  <si>
    <t>CUST1003</t>
  </si>
  <si>
    <t>CUST1044</t>
  </si>
  <si>
    <t>CUST1056</t>
  </si>
  <si>
    <t>CUST1087</t>
  </si>
  <si>
    <t>CUST1090</t>
  </si>
  <si>
    <t>CUST1016</t>
  </si>
  <si>
    <t>CUST1019</t>
  </si>
  <si>
    <t>CUST1039</t>
  </si>
  <si>
    <t>CUST1031</t>
  </si>
  <si>
    <t>CUST1099</t>
  </si>
  <si>
    <t>CUST1084</t>
  </si>
  <si>
    <t>CUST1082</t>
  </si>
  <si>
    <t>CUST1068</t>
  </si>
  <si>
    <t>CUST1008</t>
  </si>
  <si>
    <t>CUST1059</t>
  </si>
  <si>
    <t>CUST1027</t>
  </si>
  <si>
    <t>CUST1061</t>
  </si>
  <si>
    <t>CUST1037</t>
  </si>
  <si>
    <t>CUST1060</t>
  </si>
  <si>
    <t>CUST1067</t>
  </si>
  <si>
    <t>CUST1046</t>
  </si>
  <si>
    <t>CUST1050</t>
  </si>
  <si>
    <t>CUST1020</t>
  </si>
  <si>
    <t>CUST1098</t>
  </si>
  <si>
    <t>CUST1053</t>
  </si>
  <si>
    <t>CUST1096</t>
  </si>
  <si>
    <t>CUST1030</t>
  </si>
  <si>
    <t>CUST1001</t>
  </si>
  <si>
    <t>CUST1026</t>
  </si>
  <si>
    <t>CUST1092</t>
  </si>
  <si>
    <t>CUST1094</t>
  </si>
  <si>
    <t>CUST1004</t>
  </si>
  <si>
    <t>CUST1007</t>
  </si>
  <si>
    <t>CUST1021</t>
  </si>
  <si>
    <t>CUST1023</t>
  </si>
  <si>
    <t>CUST1095</t>
  </si>
  <si>
    <t>CUST1005</t>
  </si>
  <si>
    <t>CUST1009</t>
  </si>
  <si>
    <t>CUST1013</t>
  </si>
  <si>
    <t>CUST1071</t>
  </si>
  <si>
    <t>CUST1025</t>
  </si>
  <si>
    <t>CUST1085</t>
  </si>
  <si>
    <t>CUST1057</t>
  </si>
  <si>
    <t>CUST1058</t>
  </si>
  <si>
    <t>CUST1029</t>
  </si>
  <si>
    <t>CUST1069</t>
  </si>
  <si>
    <t>CUST1032</t>
  </si>
  <si>
    <t>CUST1047</t>
  </si>
  <si>
    <t>CUST1081</t>
  </si>
  <si>
    <t>CUST1017</t>
  </si>
  <si>
    <t>CUST1100</t>
  </si>
  <si>
    <t>CUST1070</t>
  </si>
  <si>
    <t>CUST1066</t>
  </si>
  <si>
    <t>CUST1097</t>
  </si>
  <si>
    <t>CUST1073</t>
  </si>
  <si>
    <t>CUST1075</t>
  </si>
  <si>
    <t>CUST1072</t>
  </si>
  <si>
    <t>CUST1063</t>
  </si>
  <si>
    <t>CUST1074</t>
  </si>
  <si>
    <t>CUST1036</t>
  </si>
  <si>
    <t>CUST1040</t>
  </si>
  <si>
    <t>CUST1065</t>
  </si>
  <si>
    <t>CUST1011</t>
  </si>
  <si>
    <t>CUST1042</t>
  </si>
  <si>
    <t>CUST1049</t>
  </si>
  <si>
    <t>CUST1080</t>
  </si>
  <si>
    <t>CUST1093</t>
  </si>
  <si>
    <t>CUST1079</t>
  </si>
  <si>
    <t>CUST1076</t>
  </si>
  <si>
    <t>CUST1015</t>
  </si>
  <si>
    <t>CUST1041</t>
  </si>
  <si>
    <t>CUST1077</t>
  </si>
  <si>
    <t>CUST1054</t>
  </si>
  <si>
    <t>CUST1022</t>
  </si>
  <si>
    <t>CUST1055</t>
  </si>
  <si>
    <t>CUST1010</t>
  </si>
  <si>
    <t>CUST1091</t>
  </si>
  <si>
    <t>CUST1048</t>
  </si>
  <si>
    <t>CUST1051</t>
  </si>
  <si>
    <t>West</t>
  </si>
  <si>
    <t>East</t>
  </si>
  <si>
    <t>South</t>
  </si>
  <si>
    <t>North</t>
  </si>
  <si>
    <t>Books</t>
  </si>
  <si>
    <t>Fashion</t>
  </si>
  <si>
    <t>Home Appliances</t>
  </si>
  <si>
    <t>Groceries</t>
  </si>
  <si>
    <t>Electronics</t>
  </si>
  <si>
    <t>Notebook</t>
  </si>
  <si>
    <t>Jacket</t>
  </si>
  <si>
    <t>Comics</t>
  </si>
  <si>
    <t>Novel</t>
  </si>
  <si>
    <t>Sneakers</t>
  </si>
  <si>
    <t>Refrigerator</t>
  </si>
  <si>
    <t>Bread</t>
  </si>
  <si>
    <t>Blender</t>
  </si>
  <si>
    <t>Milk</t>
  </si>
  <si>
    <t>Rice</t>
  </si>
  <si>
    <t>Smartwatch</t>
  </si>
  <si>
    <t>T-shirt</t>
  </si>
  <si>
    <t>Microwave</t>
  </si>
  <si>
    <t>Magazine</t>
  </si>
  <si>
    <t>Eggs</t>
  </si>
  <si>
    <t>Headphones</t>
  </si>
  <si>
    <t>Jeans</t>
  </si>
  <si>
    <t>Washing Machine</t>
  </si>
  <si>
    <t>Laptop</t>
  </si>
  <si>
    <t>Smartphone</t>
  </si>
  <si>
    <t>P001</t>
  </si>
  <si>
    <t>P002</t>
  </si>
  <si>
    <t>P003</t>
  </si>
  <si>
    <t>P004</t>
  </si>
  <si>
    <t>P005</t>
  </si>
  <si>
    <t>P006</t>
  </si>
  <si>
    <t>P007</t>
  </si>
  <si>
    <t>P008</t>
  </si>
  <si>
    <t>P009</t>
  </si>
  <si>
    <t>P010</t>
  </si>
  <si>
    <t>P011</t>
  </si>
  <si>
    <t>P012</t>
  </si>
  <si>
    <t>P013</t>
  </si>
  <si>
    <t>P014</t>
  </si>
  <si>
    <t>P015</t>
  </si>
  <si>
    <t>P016</t>
  </si>
  <si>
    <t>P017</t>
  </si>
  <si>
    <t>P018</t>
  </si>
  <si>
    <t>P019</t>
  </si>
  <si>
    <t>P020</t>
  </si>
  <si>
    <t>Total Revenue</t>
  </si>
  <si>
    <t>Average Order Value</t>
  </si>
  <si>
    <t>Row Labels</t>
  </si>
  <si>
    <t>Grand Total</t>
  </si>
  <si>
    <t>Sum of Total_Amount</t>
  </si>
  <si>
    <t>Total_Amount_by_product</t>
  </si>
  <si>
    <t xml:space="preserve">Sales by Products </t>
  </si>
  <si>
    <t>Sales Per month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</si>
  <si>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</si>
  <si>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</si>
  <si>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</si>
  <si>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</si>
  <si>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</si>
  <si>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</si>
  <si>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</si>
  <si>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</si>
  <si>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</si>
  <si>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</si>
  <si>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</si>
  <si>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</si>
  <si>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Total_Purchase_value</t>
  </si>
  <si>
    <t>Product by Sales</t>
  </si>
  <si>
    <t>Top 3 Customers by Purchase Value</t>
  </si>
  <si>
    <t>Blendor</t>
  </si>
  <si>
    <t>Notebooks</t>
  </si>
  <si>
    <t>Average_Unit_Price</t>
  </si>
  <si>
    <t>(blank)</t>
  </si>
  <si>
    <t>Month</t>
  </si>
  <si>
    <t>Total_Sales</t>
  </si>
  <si>
    <t>MoM_Growth(%)</t>
  </si>
  <si>
    <t>Column Labels</t>
  </si>
  <si>
    <t>Sum of Total_Sales</t>
  </si>
  <si>
    <t>Sum of MoM_Growth(%)</t>
  </si>
  <si>
    <t>Month wise Sales Trend</t>
  </si>
  <si>
    <t>Sales Distribution by Region</t>
  </si>
  <si>
    <t>Sales by Category</t>
  </si>
  <si>
    <t>Top 5 Products</t>
  </si>
  <si>
    <t>Sales by Customers</t>
  </si>
  <si>
    <t>Sales by Category and Region</t>
  </si>
  <si>
    <t xml:space="preserve">Analysis Period </t>
  </si>
  <si>
    <t>Jan 2024 - Oct 2024</t>
  </si>
  <si>
    <t>Top Performing Regions</t>
  </si>
  <si>
    <t>Contribution(in %)</t>
  </si>
  <si>
    <t xml:space="preserve">Best Selling Category </t>
  </si>
  <si>
    <t>Total Sales</t>
  </si>
  <si>
    <t>Top 5 Products and their Sales</t>
  </si>
  <si>
    <t>Products</t>
  </si>
  <si>
    <t>Month over Month Growth</t>
  </si>
  <si>
    <t xml:space="preserve">Highest Growth in Month </t>
  </si>
  <si>
    <t>Highest Descline in Month</t>
  </si>
  <si>
    <t>Overall Trend</t>
  </si>
  <si>
    <t>Sept 2024 (~20%)</t>
  </si>
  <si>
    <t>Feb 2024 (-37.43%)</t>
  </si>
  <si>
    <t>Steady then plummeting</t>
  </si>
  <si>
    <t>Customer Behaviour</t>
  </si>
  <si>
    <t>Top Customer spent</t>
  </si>
  <si>
    <t>Average Price</t>
  </si>
  <si>
    <t>Average Order Value of Products</t>
  </si>
  <si>
    <t>Category Performance</t>
  </si>
  <si>
    <t>Seasonal Patterns</t>
  </si>
  <si>
    <t>Peak Sales Month</t>
  </si>
  <si>
    <t>Lowest Sales Month</t>
  </si>
  <si>
    <t>January</t>
  </si>
  <si>
    <t>July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</si>
</sst>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i/>
      <u/>
      <sz val="12"/>
      <color theme="1"/>
      <name val="Times New Roman"/>
      <family val="1"/>
    </font>
    <font>
      <b/>
      <u/>
      <sz val="12"/>
      <color theme="1"/>
      <name val="Times New Roman"/>
      <family val="1"/>
    </font>
    <font>
      <b/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theme="4" tint="0.3999755851924192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xfId="0"/>
    <xf numFmtId="164" fontId="0" fillId="0" borderId="0" xfId="0" applyNumberFormat="1"/>
    <xf numFmtId="2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1" fillId="2" borderId="2" xfId="0" applyFont="1" applyFill="1" applyBorder="1"/>
    <xf numFmtId="0" fontId="1" fillId="0" borderId="3" xfId="0" applyFont="1" applyBorder="1" applyAlignment="1">
      <alignment horizontal="center" vertical="top"/>
    </xf>
    <xf numFmtId="2" fontId="1" fillId="0" borderId="3" xfId="0" applyNumberFormat="1" applyFont="1" applyBorder="1" applyAlignment="1">
      <alignment horizontal="center" vertical="top"/>
    </xf>
    <xf numFmtId="0" fontId="3" fillId="0" borderId="0" xfId="0" applyFont="1"/>
    <xf numFmtId="0" fontId="4" fillId="0" borderId="0" xfId="0" applyFont="1"/>
    <xf numFmtId="0" fontId="0" fillId="0" borderId="0" xfId="0" applyAlignment="1">
      <alignment horizontal="right"/>
    </xf>
    <xf numFmtId="0" fontId="1" fillId="2" borderId="2" xfId="0" applyFont="1" applyFill="1" applyBorder="1" applyAlignment="1">
      <alignment horizontal="right"/>
    </xf>
    <xf numFmtId="2" fontId="0" fillId="0" borderId="0" xfId="0" applyNumberFormat="1" applyAlignment="1">
      <alignment horizontal="right"/>
    </xf>
    <xf numFmtId="0" fontId="1" fillId="0" borderId="0" xfId="0" applyFont="1"/>
    <xf numFmtId="0" fontId="1" fillId="0" borderId="0" xfId="0" applyFont="1" applyAlignment="1">
      <alignment horizontal="left"/>
    </xf>
    <xf numFmtId="10" fontId="0" fillId="0" borderId="0" xfId="0" applyNumberFormat="1" applyAlignment="1">
      <alignment horizontal="right"/>
    </xf>
    <xf numFmtId="0" fontId="5" fillId="0" borderId="0" xfId="0" applyFont="1"/>
    <xf numFmtId="0" fontId="5" fillId="0" borderId="1" xfId="0" applyFont="1" applyBorder="1" applyAlignment="1">
      <alignment horizontal="center" vertical="top"/>
    </xf>
  </cellXfs>
  <cellStyles count="1">
    <cellStyle name="Normal" xfId="0" builtinId="0"/>
  </cellStyles>
  <dxfs count="5">
    <dxf>
      <numFmt numFmtId="2" formatCode="0.00"/>
    </dxf>
    <dxf>
      <numFmt numFmtId="164" formatCode="yyyy\-mm\-dd\ hh:mm:ss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[assignment data.xlsx]Sales by Category and Region!PivotTable12</c:name>
    <c:fmtId val="1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'Sales by Category and Region'!$B$3:$B$4</c:f>
              <c:strCache>
                <c:ptCount val="1"/>
                <c:pt idx="0">
                  <c:v>East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'Sales by Category and Region'!$A$5:$A$11</c:f>
              <c:strCache>
                <c:ptCount val="6"/>
                <c:pt idx="0">
                  <c:v>Books</c:v>
                </c:pt>
                <c:pt idx="1">
                  <c:v>Groceries</c:v>
                </c:pt>
                <c:pt idx="2">
                  <c:v>Electronics</c:v>
                </c:pt>
                <c:pt idx="3">
                  <c:v>Fashion</c:v>
                </c:pt>
                <c:pt idx="4">
                  <c:v>Home Appliances</c:v>
                </c:pt>
                <c:pt idx="5">
                  <c:v>(blank)</c:v>
                </c:pt>
              </c:strCache>
            </c:strRef>
          </c:cat>
          <c:val>
            <c:numRef>
              <c:f>'Sales by Category and Region'!$B$5:$B$11</c:f>
              <c:numCache>
                <c:formatCode>General</c:formatCode>
                <c:ptCount val="6"/>
                <c:pt idx="0">
                  <c:v>340957.76</c:v>
                </c:pt>
                <c:pt idx="1">
                  <c:v>444162.66</c:v>
                </c:pt>
                <c:pt idx="2">
                  <c:v>221287.38999999998</c:v>
                </c:pt>
                <c:pt idx="3">
                  <c:v>261842.66999999995</c:v>
                </c:pt>
                <c:pt idx="4">
                  <c:v>262002.22999999998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7CC-455A-9B02-7535BC91DD1D}"/>
            </c:ext>
          </c:extLst>
        </c:ser>
        <c:ser>
          <c:idx val="1"/>
          <c:order val="1"/>
          <c:tx>
            <c:strRef>
              <c:f>'Sales by Category and Region'!$C$3:$C$4</c:f>
              <c:strCache>
                <c:ptCount val="1"/>
                <c:pt idx="0">
                  <c:v>North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'Sales by Category and Region'!$A$5:$A$11</c:f>
              <c:strCache>
                <c:ptCount val="6"/>
                <c:pt idx="0">
                  <c:v>Books</c:v>
                </c:pt>
                <c:pt idx="1">
                  <c:v>Groceries</c:v>
                </c:pt>
                <c:pt idx="2">
                  <c:v>Electronics</c:v>
                </c:pt>
                <c:pt idx="3">
                  <c:v>Fashion</c:v>
                </c:pt>
                <c:pt idx="4">
                  <c:v>Home Appliances</c:v>
                </c:pt>
                <c:pt idx="5">
                  <c:v>(blank)</c:v>
                </c:pt>
              </c:strCache>
            </c:strRef>
          </c:cat>
          <c:val>
            <c:numRef>
              <c:f>'Sales by Category and Region'!$C$5:$C$11</c:f>
              <c:numCache>
                <c:formatCode>General</c:formatCode>
                <c:ptCount val="6"/>
                <c:pt idx="0">
                  <c:v>331455.75999999989</c:v>
                </c:pt>
                <c:pt idx="1">
                  <c:v>341875.07999999996</c:v>
                </c:pt>
                <c:pt idx="2">
                  <c:v>273441.22000000009</c:v>
                </c:pt>
                <c:pt idx="3">
                  <c:v>327099.65999999997</c:v>
                </c:pt>
                <c:pt idx="4">
                  <c:v>225956.35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7CC-455A-9B02-7535BC91DD1D}"/>
            </c:ext>
          </c:extLst>
        </c:ser>
        <c:ser>
          <c:idx val="2"/>
          <c:order val="2"/>
          <c:tx>
            <c:strRef>
              <c:f>'Sales by Category and Region'!$D$3:$D$4</c:f>
              <c:strCache>
                <c:ptCount val="1"/>
                <c:pt idx="0">
                  <c:v>South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'Sales by Category and Region'!$A$5:$A$11</c:f>
              <c:strCache>
                <c:ptCount val="6"/>
                <c:pt idx="0">
                  <c:v>Books</c:v>
                </c:pt>
                <c:pt idx="1">
                  <c:v>Groceries</c:v>
                </c:pt>
                <c:pt idx="2">
                  <c:v>Electronics</c:v>
                </c:pt>
                <c:pt idx="3">
                  <c:v>Fashion</c:v>
                </c:pt>
                <c:pt idx="4">
                  <c:v>Home Appliances</c:v>
                </c:pt>
                <c:pt idx="5">
                  <c:v>(blank)</c:v>
                </c:pt>
              </c:strCache>
            </c:strRef>
          </c:cat>
          <c:val>
            <c:numRef>
              <c:f>'Sales by Category and Region'!$D$5:$D$11</c:f>
              <c:numCache>
                <c:formatCode>General</c:formatCode>
                <c:ptCount val="6"/>
                <c:pt idx="0">
                  <c:v>451937.72</c:v>
                </c:pt>
                <c:pt idx="1">
                  <c:v>280981.19999999995</c:v>
                </c:pt>
                <c:pt idx="2">
                  <c:v>399405.20999999996</c:v>
                </c:pt>
                <c:pt idx="3">
                  <c:v>262410.28999999998</c:v>
                </c:pt>
                <c:pt idx="4">
                  <c:v>308484.56999999995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7CC-455A-9B02-7535BC91DD1D}"/>
            </c:ext>
          </c:extLst>
        </c:ser>
        <c:ser>
          <c:idx val="3"/>
          <c:order val="3"/>
          <c:tx>
            <c:strRef>
              <c:f>'Sales by Category and Region'!$E$3:$E$4</c:f>
              <c:strCache>
                <c:ptCount val="1"/>
                <c:pt idx="0">
                  <c:v>West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'Sales by Category and Region'!$A$5:$A$11</c:f>
              <c:strCache>
                <c:ptCount val="6"/>
                <c:pt idx="0">
                  <c:v>Books</c:v>
                </c:pt>
                <c:pt idx="1">
                  <c:v>Groceries</c:v>
                </c:pt>
                <c:pt idx="2">
                  <c:v>Electronics</c:v>
                </c:pt>
                <c:pt idx="3">
                  <c:v>Fashion</c:v>
                </c:pt>
                <c:pt idx="4">
                  <c:v>Home Appliances</c:v>
                </c:pt>
                <c:pt idx="5">
                  <c:v>(blank)</c:v>
                </c:pt>
              </c:strCache>
            </c:strRef>
          </c:cat>
          <c:val>
            <c:numRef>
              <c:f>'Sales by Category and Region'!$E$5:$E$11</c:f>
              <c:numCache>
                <c:formatCode>General</c:formatCode>
                <c:ptCount val="6"/>
                <c:pt idx="0">
                  <c:v>324521.93000000005</c:v>
                </c:pt>
                <c:pt idx="1">
                  <c:v>304209.79000000004</c:v>
                </c:pt>
                <c:pt idx="2">
                  <c:v>310164.02</c:v>
                </c:pt>
                <c:pt idx="3">
                  <c:v>291772.37000000005</c:v>
                </c:pt>
                <c:pt idx="4">
                  <c:v>300014.28000000003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7CC-455A-9B02-7535BC91DD1D}"/>
            </c:ext>
          </c:extLst>
        </c:ser>
        <c:ser>
          <c:idx val="4"/>
          <c:order val="4"/>
          <c:tx>
            <c:strRef>
              <c:f>'Sales by Category and Region'!$F$3:$F$4</c:f>
              <c:strCache>
                <c:ptCount val="1"/>
                <c:pt idx="0">
                  <c:v>(blank)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'Sales by Category and Region'!$A$5:$A$11</c:f>
              <c:strCache>
                <c:ptCount val="6"/>
                <c:pt idx="0">
                  <c:v>Books</c:v>
                </c:pt>
                <c:pt idx="1">
                  <c:v>Groceries</c:v>
                </c:pt>
                <c:pt idx="2">
                  <c:v>Electronics</c:v>
                </c:pt>
                <c:pt idx="3">
                  <c:v>Fashion</c:v>
                </c:pt>
                <c:pt idx="4">
                  <c:v>Home Appliances</c:v>
                </c:pt>
                <c:pt idx="5">
                  <c:v>(blank)</c:v>
                </c:pt>
              </c:strCache>
            </c:strRef>
          </c:cat>
          <c:val>
            <c:numRef>
              <c:f>'Sales by Category and Region'!$F$5:$F$11</c:f>
              <c:numCache>
                <c:formatCode>General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04-87CC-455A-9B02-7535BC91DD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31011055"/>
        <c:axId val="1231011535"/>
      </c:barChart>
      <c:catAx>
        <c:axId val="12310110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1011535"/>
        <c:crosses val="autoZero"/>
        <c:auto val="1"/>
        <c:lblAlgn val="ctr"/>
        <c:lblOffset val="100"/>
        <c:noMultiLvlLbl val="0"/>
      </c:catAx>
      <c:valAx>
        <c:axId val="12310115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10110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[assignment data.xlsx]Visulaization!PivotTable6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Distribution by Region</a:t>
            </a:r>
          </a:p>
        </c:rich>
      </c:tx>
      <c:layout>
        <c:manualLayout>
          <c:xMode val="edge"/>
          <c:yMode val="edge"/>
          <c:x val="0.38694444444444448"/>
          <c:y val="2.675707203266258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"/>
          <c:y val="0.14860461472166722"/>
          <c:w val="1"/>
          <c:h val="0.79666901711912874"/>
        </c:manualLayout>
      </c:layout>
      <c:pie3DChart>
        <c:varyColors val="1"/>
        <c:ser>
          <c:idx val="0"/>
          <c:order val="0"/>
          <c:tx>
            <c:strRef>
              <c:f>Visulaization!$B$3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969B-44E4-AE09-17CA2ACA8EA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969B-44E4-AE09-17CA2ACA8EA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969B-44E4-AE09-17CA2ACA8EA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969B-44E4-AE09-17CA2ACA8EA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969B-44E4-AE09-17CA2ACA8EA3}"/>
              </c:ext>
            </c:extLst>
          </c:dPt>
          <c:cat>
            <c:strRef>
              <c:f>Visulaization!$A$4:$A$9</c:f>
              <c:strCache>
                <c:ptCount val="5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  <c:pt idx="4">
                  <c:v>(blank)</c:v>
                </c:pt>
              </c:strCache>
            </c:strRef>
          </c:cat>
          <c:val>
            <c:numRef>
              <c:f>Visulaization!$B$4:$B$9</c:f>
              <c:numCache>
                <c:formatCode>General</c:formatCode>
                <c:ptCount val="5"/>
                <c:pt idx="0">
                  <c:v>1530252.71</c:v>
                </c:pt>
                <c:pt idx="1">
                  <c:v>1499828.07</c:v>
                </c:pt>
                <c:pt idx="2">
                  <c:v>1703218.9900000002</c:v>
                </c:pt>
                <c:pt idx="3">
                  <c:v>1530682.3900000001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82-474E-A890-0C34AE1F73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[assignment data.xlsx]Visulaization!PivotTable7</c:name>
    <c:fmtId val="10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Visulaization!$B$20</c:f>
              <c:strCache>
                <c:ptCount val="1"/>
                <c:pt idx="0">
                  <c:v>Sum of Total_Sales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Visulaization!$A$21:$A$34</c:f>
              <c:strCache>
                <c:ptCount val="13"/>
                <c:pt idx="0">
                  <c:v>2024-01</c:v>
                </c:pt>
                <c:pt idx="1">
                  <c:v>2024-02</c:v>
                </c:pt>
                <c:pt idx="2">
                  <c:v>2024-03</c:v>
                </c:pt>
                <c:pt idx="3">
                  <c:v>2024-04</c:v>
                </c:pt>
                <c:pt idx="4">
                  <c:v>2024-05</c:v>
                </c:pt>
                <c:pt idx="5">
                  <c:v>2024-06</c:v>
                </c:pt>
                <c:pt idx="6">
                  <c:v>2024-07</c:v>
                </c:pt>
                <c:pt idx="7">
                  <c:v>2024-08</c:v>
                </c:pt>
                <c:pt idx="8">
                  <c:v>2024-09</c:v>
                </c:pt>
                <c:pt idx="9">
                  <c:v>2024-10</c:v>
                </c:pt>
                <c:pt idx="10">
                  <c:v>2024-11</c:v>
                </c:pt>
                <c:pt idx="11">
                  <c:v>2024-12</c:v>
                </c:pt>
                <c:pt idx="12">
                  <c:v>(blank)</c:v>
                </c:pt>
              </c:strCache>
            </c:strRef>
          </c:cat>
          <c:val>
            <c:numRef>
              <c:f>Visulaization!$B$21:$B$34</c:f>
              <c:numCache>
                <c:formatCode>General</c:formatCode>
                <c:ptCount val="13"/>
                <c:pt idx="0">
                  <c:v>796530.73999999964</c:v>
                </c:pt>
                <c:pt idx="1">
                  <c:v>579576.01</c:v>
                </c:pt>
                <c:pt idx="2">
                  <c:v>527151.06000000017</c:v>
                </c:pt>
                <c:pt idx="3">
                  <c:v>603609.10999999987</c:v>
                </c:pt>
                <c:pt idx="4">
                  <c:v>605913.90000000014</c:v>
                </c:pt>
                <c:pt idx="5">
                  <c:v>700538.82000000018</c:v>
                </c:pt>
                <c:pt idx="6">
                  <c:v>487514.80000000016</c:v>
                </c:pt>
                <c:pt idx="7">
                  <c:v>584660.41</c:v>
                </c:pt>
                <c:pt idx="8">
                  <c:v>730754.04000000015</c:v>
                </c:pt>
                <c:pt idx="9">
                  <c:v>647733.27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123-4DCC-B80D-09B42A276C87}"/>
            </c:ext>
          </c:extLst>
        </c:ser>
        <c:ser>
          <c:idx val="1"/>
          <c:order val="1"/>
          <c:tx>
            <c:strRef>
              <c:f>Visulaization!$C$20</c:f>
              <c:strCache>
                <c:ptCount val="1"/>
                <c:pt idx="0">
                  <c:v>Sum of MoM_Growth(%)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Visulaization!$A$21:$A$34</c:f>
              <c:strCache>
                <c:ptCount val="13"/>
                <c:pt idx="0">
                  <c:v>2024-01</c:v>
                </c:pt>
                <c:pt idx="1">
                  <c:v>2024-02</c:v>
                </c:pt>
                <c:pt idx="2">
                  <c:v>2024-03</c:v>
                </c:pt>
                <c:pt idx="3">
                  <c:v>2024-04</c:v>
                </c:pt>
                <c:pt idx="4">
                  <c:v>2024-05</c:v>
                </c:pt>
                <c:pt idx="5">
                  <c:v>2024-06</c:v>
                </c:pt>
                <c:pt idx="6">
                  <c:v>2024-07</c:v>
                </c:pt>
                <c:pt idx="7">
                  <c:v>2024-08</c:v>
                </c:pt>
                <c:pt idx="8">
                  <c:v>2024-09</c:v>
                </c:pt>
                <c:pt idx="9">
                  <c:v>2024-10</c:v>
                </c:pt>
                <c:pt idx="10">
                  <c:v>2024-11</c:v>
                </c:pt>
                <c:pt idx="11">
                  <c:v>2024-12</c:v>
                </c:pt>
                <c:pt idx="12">
                  <c:v>(blank)</c:v>
                </c:pt>
              </c:strCache>
            </c:strRef>
          </c:cat>
          <c:val>
            <c:numRef>
              <c:f>Visulaization!$C$21:$C$34</c:f>
              <c:numCache>
                <c:formatCode>General</c:formatCode>
                <c:ptCount val="13"/>
                <c:pt idx="0">
                  <c:v>0</c:v>
                </c:pt>
                <c:pt idx="1">
                  <c:v>-37.433352357010023</c:v>
                </c:pt>
                <c:pt idx="2">
                  <c:v>-9.9449577128802176</c:v>
                </c:pt>
                <c:pt idx="3">
                  <c:v>12.666815118148186</c:v>
                </c:pt>
                <c:pt idx="4">
                  <c:v>0.38038242727230215</c:v>
                </c:pt>
                <c:pt idx="5">
                  <c:v>13.507448452321317</c:v>
                </c:pt>
                <c:pt idx="6">
                  <c:v>-43.695908308834916</c:v>
                </c:pt>
                <c:pt idx="7">
                  <c:v>16.615732541219931</c:v>
                </c:pt>
                <c:pt idx="8">
                  <c:v>19.992175479454083</c:v>
                </c:pt>
                <c:pt idx="9">
                  <c:v>-12.817123011143172</c:v>
                </c:pt>
                <c:pt idx="10">
                  <c:v>#N/A</c:v>
                </c:pt>
                <c:pt idx="11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123-4DCC-B80D-09B42A276C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64469423"/>
        <c:axId val="1564462703"/>
      </c:lineChart>
      <c:catAx>
        <c:axId val="15644694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4462703"/>
        <c:crosses val="autoZero"/>
        <c:auto val="1"/>
        <c:lblAlgn val="ctr"/>
        <c:lblOffset val="100"/>
        <c:noMultiLvlLbl val="0"/>
      </c:catAx>
      <c:valAx>
        <c:axId val="15644627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44694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[assignment data.xlsx]Visulaization!PivotTable8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Visulaization!$B$40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Visulaization!$A$41:$A$47</c:f>
              <c:strCache>
                <c:ptCount val="6"/>
                <c:pt idx="0">
                  <c:v>Books</c:v>
                </c:pt>
                <c:pt idx="1">
                  <c:v>Groceries</c:v>
                </c:pt>
                <c:pt idx="2">
                  <c:v>Electronics</c:v>
                </c:pt>
                <c:pt idx="3">
                  <c:v>Fashion</c:v>
                </c:pt>
                <c:pt idx="4">
                  <c:v>Home Appliances</c:v>
                </c:pt>
                <c:pt idx="5">
                  <c:v>(blank)</c:v>
                </c:pt>
              </c:strCache>
            </c:strRef>
          </c:cat>
          <c:val>
            <c:numRef>
              <c:f>Visulaization!$B$41:$B$47</c:f>
              <c:numCache>
                <c:formatCode>General</c:formatCode>
                <c:ptCount val="6"/>
                <c:pt idx="0">
                  <c:v>1448873.1700000011</c:v>
                </c:pt>
                <c:pt idx="1">
                  <c:v>1371228.73</c:v>
                </c:pt>
                <c:pt idx="2">
                  <c:v>1204297.8400000005</c:v>
                </c:pt>
                <c:pt idx="3">
                  <c:v>1143124.9900000002</c:v>
                </c:pt>
                <c:pt idx="4">
                  <c:v>1096457.4300000002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7E2-4E49-945E-601640DCE0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230990415"/>
        <c:axId val="1231009135"/>
      </c:barChart>
      <c:catAx>
        <c:axId val="12309904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1009135"/>
        <c:crosses val="autoZero"/>
        <c:auto val="1"/>
        <c:lblAlgn val="ctr"/>
        <c:lblOffset val="100"/>
        <c:noMultiLvlLbl val="0"/>
      </c:catAx>
      <c:valAx>
        <c:axId val="12310091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09904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[assignment data.xlsx]Visulaization!PivotTable11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>
                <a:effectLst/>
              </a:rPr>
              <a:t>Top 5 Products 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Visulaization!$B$56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Visulaization!$A$57:$A$62</c:f>
              <c:strCache>
                <c:ptCount val="5"/>
                <c:pt idx="0">
                  <c:v>Comics</c:v>
                </c:pt>
                <c:pt idx="1">
                  <c:v>Rice</c:v>
                </c:pt>
                <c:pt idx="2">
                  <c:v>Headphones</c:v>
                </c:pt>
                <c:pt idx="3">
                  <c:v>Magazine</c:v>
                </c:pt>
                <c:pt idx="4">
                  <c:v>T-shirt</c:v>
                </c:pt>
              </c:strCache>
            </c:strRef>
          </c:cat>
          <c:val>
            <c:numRef>
              <c:f>Visulaization!$B$57:$B$62</c:f>
              <c:numCache>
                <c:formatCode>General</c:formatCode>
                <c:ptCount val="5"/>
                <c:pt idx="0">
                  <c:v>473835.58999999991</c:v>
                </c:pt>
                <c:pt idx="1">
                  <c:v>405999.28</c:v>
                </c:pt>
                <c:pt idx="2">
                  <c:v>391800.59000000008</c:v>
                </c:pt>
                <c:pt idx="3">
                  <c:v>361813.98</c:v>
                </c:pt>
                <c:pt idx="4">
                  <c:v>349824.67000000004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E93-4D10-87D9-19E6740D9A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564447823"/>
        <c:axId val="1564431503"/>
      </c:barChart>
      <c:catAx>
        <c:axId val="15644478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4431503"/>
        <c:crosses val="autoZero"/>
        <c:auto val="1"/>
        <c:lblAlgn val="ctr"/>
        <c:lblOffset val="100"/>
        <c:noMultiLvlLbl val="0"/>
      </c:catAx>
      <c:valAx>
        <c:axId val="15644315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44478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[assignment data.xlsx]Visulaization!PivotTable6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Distribution by Region</a:t>
            </a:r>
          </a:p>
        </c:rich>
      </c:tx>
      <c:layout>
        <c:manualLayout>
          <c:xMode val="edge"/>
          <c:yMode val="edge"/>
          <c:x val="0.38694444444444448"/>
          <c:y val="2.675707203266258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"/>
          <c:y val="0.14860461472166722"/>
          <c:w val="1"/>
          <c:h val="0.79666901711912874"/>
        </c:manualLayout>
      </c:layout>
      <c:pie3DChart>
        <c:varyColors val="1"/>
        <c:ser>
          <c:idx val="0"/>
          <c:order val="0"/>
          <c:tx>
            <c:strRef>
              <c:f>Visulaization!$B$3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8645-40E1-964D-D42AE3FAEE5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8645-40E1-964D-D42AE3FAEE5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8645-40E1-964D-D42AE3FAEE51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8645-40E1-964D-D42AE3FAEE51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8645-40E1-964D-D42AE3FAEE51}"/>
              </c:ext>
            </c:extLst>
          </c:dPt>
          <c:cat>
            <c:strRef>
              <c:f>Visulaization!$A$4:$A$9</c:f>
              <c:strCache>
                <c:ptCount val="5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  <c:pt idx="4">
                  <c:v>(blank)</c:v>
                </c:pt>
              </c:strCache>
            </c:strRef>
          </c:cat>
          <c:val>
            <c:numRef>
              <c:f>Visulaization!$B$4:$B$9</c:f>
              <c:numCache>
                <c:formatCode>General</c:formatCode>
                <c:ptCount val="5"/>
                <c:pt idx="0">
                  <c:v>1530252.71</c:v>
                </c:pt>
                <c:pt idx="1">
                  <c:v>1499828.07</c:v>
                </c:pt>
                <c:pt idx="2">
                  <c:v>1703218.9900000002</c:v>
                </c:pt>
                <c:pt idx="3">
                  <c:v>1530682.3900000001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8645-40E1-964D-D42AE3FAEE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[assignment data.xlsx]Visulaization!PivotTable7</c:name>
    <c:fmtId val="12"/>
  </c:pivotSource>
  <c:chart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Visulaization!$B$20</c:f>
              <c:strCache>
                <c:ptCount val="1"/>
                <c:pt idx="0">
                  <c:v>Sum of Total_Sales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Visulaization!$A$21:$A$34</c:f>
              <c:strCache>
                <c:ptCount val="13"/>
                <c:pt idx="0">
                  <c:v>2024-01</c:v>
                </c:pt>
                <c:pt idx="1">
                  <c:v>2024-02</c:v>
                </c:pt>
                <c:pt idx="2">
                  <c:v>2024-03</c:v>
                </c:pt>
                <c:pt idx="3">
                  <c:v>2024-04</c:v>
                </c:pt>
                <c:pt idx="4">
                  <c:v>2024-05</c:v>
                </c:pt>
                <c:pt idx="5">
                  <c:v>2024-06</c:v>
                </c:pt>
                <c:pt idx="6">
                  <c:v>2024-07</c:v>
                </c:pt>
                <c:pt idx="7">
                  <c:v>2024-08</c:v>
                </c:pt>
                <c:pt idx="8">
                  <c:v>2024-09</c:v>
                </c:pt>
                <c:pt idx="9">
                  <c:v>2024-10</c:v>
                </c:pt>
                <c:pt idx="10">
                  <c:v>2024-11</c:v>
                </c:pt>
                <c:pt idx="11">
                  <c:v>2024-12</c:v>
                </c:pt>
                <c:pt idx="12">
                  <c:v>(blank)</c:v>
                </c:pt>
              </c:strCache>
            </c:strRef>
          </c:cat>
          <c:val>
            <c:numRef>
              <c:f>Visulaization!$B$21:$B$34</c:f>
              <c:numCache>
                <c:formatCode>General</c:formatCode>
                <c:ptCount val="13"/>
                <c:pt idx="0">
                  <c:v>796530.73999999964</c:v>
                </c:pt>
                <c:pt idx="1">
                  <c:v>579576.01</c:v>
                </c:pt>
                <c:pt idx="2">
                  <c:v>527151.06000000017</c:v>
                </c:pt>
                <c:pt idx="3">
                  <c:v>603609.10999999987</c:v>
                </c:pt>
                <c:pt idx="4">
                  <c:v>605913.90000000014</c:v>
                </c:pt>
                <c:pt idx="5">
                  <c:v>700538.82000000018</c:v>
                </c:pt>
                <c:pt idx="6">
                  <c:v>487514.80000000016</c:v>
                </c:pt>
                <c:pt idx="7">
                  <c:v>584660.41</c:v>
                </c:pt>
                <c:pt idx="8">
                  <c:v>730754.04000000015</c:v>
                </c:pt>
                <c:pt idx="9">
                  <c:v>647733.27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710-4E82-B57C-8C694281392C}"/>
            </c:ext>
          </c:extLst>
        </c:ser>
        <c:ser>
          <c:idx val="1"/>
          <c:order val="1"/>
          <c:tx>
            <c:strRef>
              <c:f>Visulaization!$C$20</c:f>
              <c:strCache>
                <c:ptCount val="1"/>
                <c:pt idx="0">
                  <c:v>Sum of MoM_Growth(%)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Visulaization!$A$21:$A$34</c:f>
              <c:strCache>
                <c:ptCount val="13"/>
                <c:pt idx="0">
                  <c:v>2024-01</c:v>
                </c:pt>
                <c:pt idx="1">
                  <c:v>2024-02</c:v>
                </c:pt>
                <c:pt idx="2">
                  <c:v>2024-03</c:v>
                </c:pt>
                <c:pt idx="3">
                  <c:v>2024-04</c:v>
                </c:pt>
                <c:pt idx="4">
                  <c:v>2024-05</c:v>
                </c:pt>
                <c:pt idx="5">
                  <c:v>2024-06</c:v>
                </c:pt>
                <c:pt idx="6">
                  <c:v>2024-07</c:v>
                </c:pt>
                <c:pt idx="7">
                  <c:v>2024-08</c:v>
                </c:pt>
                <c:pt idx="8">
                  <c:v>2024-09</c:v>
                </c:pt>
                <c:pt idx="9">
                  <c:v>2024-10</c:v>
                </c:pt>
                <c:pt idx="10">
                  <c:v>2024-11</c:v>
                </c:pt>
                <c:pt idx="11">
                  <c:v>2024-12</c:v>
                </c:pt>
                <c:pt idx="12">
                  <c:v>(blank)</c:v>
                </c:pt>
              </c:strCache>
            </c:strRef>
          </c:cat>
          <c:val>
            <c:numRef>
              <c:f>Visulaization!$C$21:$C$34</c:f>
              <c:numCache>
                <c:formatCode>General</c:formatCode>
                <c:ptCount val="13"/>
                <c:pt idx="0">
                  <c:v>0</c:v>
                </c:pt>
                <c:pt idx="1">
                  <c:v>-37.433352357010023</c:v>
                </c:pt>
                <c:pt idx="2">
                  <c:v>-9.9449577128802176</c:v>
                </c:pt>
                <c:pt idx="3">
                  <c:v>12.666815118148186</c:v>
                </c:pt>
                <c:pt idx="4">
                  <c:v>0.38038242727230215</c:v>
                </c:pt>
                <c:pt idx="5">
                  <c:v>13.507448452321317</c:v>
                </c:pt>
                <c:pt idx="6">
                  <c:v>-43.695908308834916</c:v>
                </c:pt>
                <c:pt idx="7">
                  <c:v>16.615732541219931</c:v>
                </c:pt>
                <c:pt idx="8">
                  <c:v>19.992175479454083</c:v>
                </c:pt>
                <c:pt idx="9">
                  <c:v>-12.817123011143172</c:v>
                </c:pt>
                <c:pt idx="10">
                  <c:v>#N/A</c:v>
                </c:pt>
                <c:pt idx="11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710-4E82-B57C-8C69428139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64469423"/>
        <c:axId val="1564462703"/>
      </c:lineChart>
      <c:catAx>
        <c:axId val="15644694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4462703"/>
        <c:crosses val="autoZero"/>
        <c:auto val="1"/>
        <c:lblAlgn val="ctr"/>
        <c:lblOffset val="100"/>
        <c:noMultiLvlLbl val="0"/>
      </c:catAx>
      <c:valAx>
        <c:axId val="15644627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44694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[assignment data.xlsx]Visulaization!PivotTable8</c:name>
    <c:fmtId val="1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Visulaization!$B$40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Visulaization!$A$41:$A$47</c:f>
              <c:strCache>
                <c:ptCount val="6"/>
                <c:pt idx="0">
                  <c:v>Books</c:v>
                </c:pt>
                <c:pt idx="1">
                  <c:v>Groceries</c:v>
                </c:pt>
                <c:pt idx="2">
                  <c:v>Electronics</c:v>
                </c:pt>
                <c:pt idx="3">
                  <c:v>Fashion</c:v>
                </c:pt>
                <c:pt idx="4">
                  <c:v>Home Appliances</c:v>
                </c:pt>
                <c:pt idx="5">
                  <c:v>(blank)</c:v>
                </c:pt>
              </c:strCache>
            </c:strRef>
          </c:cat>
          <c:val>
            <c:numRef>
              <c:f>Visulaization!$B$41:$B$47</c:f>
              <c:numCache>
                <c:formatCode>General</c:formatCode>
                <c:ptCount val="6"/>
                <c:pt idx="0">
                  <c:v>1448873.1700000011</c:v>
                </c:pt>
                <c:pt idx="1">
                  <c:v>1371228.73</c:v>
                </c:pt>
                <c:pt idx="2">
                  <c:v>1204297.8400000005</c:v>
                </c:pt>
                <c:pt idx="3">
                  <c:v>1143124.9900000002</c:v>
                </c:pt>
                <c:pt idx="4">
                  <c:v>1096457.4300000002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82E-4F0B-A4A1-6A86AE14FB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230990415"/>
        <c:axId val="1231009135"/>
      </c:barChart>
      <c:catAx>
        <c:axId val="12309904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1009135"/>
        <c:crosses val="autoZero"/>
        <c:auto val="1"/>
        <c:lblAlgn val="ctr"/>
        <c:lblOffset val="100"/>
        <c:noMultiLvlLbl val="0"/>
      </c:catAx>
      <c:valAx>
        <c:axId val="12310091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09904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[assignment data.xlsx]Visulaization!PivotTable11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>
                <a:effectLst/>
              </a:rPr>
              <a:t>Top 5 Products 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Visulaization!$B$56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Visulaization!$A$57:$A$62</c:f>
              <c:strCache>
                <c:ptCount val="5"/>
                <c:pt idx="0">
                  <c:v>Comics</c:v>
                </c:pt>
                <c:pt idx="1">
                  <c:v>Rice</c:v>
                </c:pt>
                <c:pt idx="2">
                  <c:v>Headphones</c:v>
                </c:pt>
                <c:pt idx="3">
                  <c:v>Magazine</c:v>
                </c:pt>
                <c:pt idx="4">
                  <c:v>T-shirt</c:v>
                </c:pt>
              </c:strCache>
            </c:strRef>
          </c:cat>
          <c:val>
            <c:numRef>
              <c:f>Visulaization!$B$57:$B$62</c:f>
              <c:numCache>
                <c:formatCode>General</c:formatCode>
                <c:ptCount val="5"/>
                <c:pt idx="0">
                  <c:v>473835.58999999991</c:v>
                </c:pt>
                <c:pt idx="1">
                  <c:v>405999.28</c:v>
                </c:pt>
                <c:pt idx="2">
                  <c:v>391800.59000000008</c:v>
                </c:pt>
                <c:pt idx="3">
                  <c:v>361813.98</c:v>
                </c:pt>
                <c:pt idx="4">
                  <c:v>349824.67000000004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FD7-419F-82AC-AD7B0B9A53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564447823"/>
        <c:axId val="1564431503"/>
      </c:barChart>
      <c:catAx>
        <c:axId val="15644478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4431503"/>
        <c:crosses val="autoZero"/>
        <c:auto val="1"/>
        <c:lblAlgn val="ctr"/>
        <c:lblOffset val="100"/>
        <c:noMultiLvlLbl val="0"/>
      </c:catAx>
      <c:valAx>
        <c:axId val="15644315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44478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4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4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12</xdr:row>
      <xdr:rowOff>7620</xdr:rowOff>
    </xdr:from>
    <xdr:to>
      <xdr:col>6</xdr:col>
      <xdr:colOff>746760</xdr:colOff>
      <xdr:row>29</xdr:row>
      <xdr:rowOff>22860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E9A015B-9560-B1F2-699F-4822BB28693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167640</xdr:colOff>
      <xdr:row>1</xdr:row>
      <xdr:rowOff>7620</xdr:rowOff>
    </xdr:from>
    <xdr:to>
      <xdr:col>9</xdr:col>
      <xdr:colOff>472440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DE67461-3519-6A7E-2353-74D7BB7BD19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678180</xdr:colOff>
      <xdr:row>19</xdr:row>
      <xdr:rowOff>7620</xdr:rowOff>
    </xdr:from>
    <xdr:to>
      <xdr:col>10</xdr:col>
      <xdr:colOff>662940</xdr:colOff>
      <xdr:row>34</xdr:row>
      <xdr:rowOff>22860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785553F-C8C3-976B-BD4E-EF449C857E0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7620</xdr:colOff>
      <xdr:row>37</xdr:row>
      <xdr:rowOff>7620</xdr:rowOff>
    </xdr:from>
    <xdr:to>
      <xdr:col>10</xdr:col>
      <xdr:colOff>533400</xdr:colOff>
      <xdr:row>52</xdr:row>
      <xdr:rowOff>7620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3F0C208-EDB0-F3D6-9169-8E3F12E64B2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678180</xdr:colOff>
      <xdr:row>54</xdr:row>
      <xdr:rowOff>167640</xdr:rowOff>
    </xdr:from>
    <xdr:to>
      <xdr:col>10</xdr:col>
      <xdr:colOff>518160</xdr:colOff>
      <xdr:row>69</xdr:row>
      <xdr:rowOff>167640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522CBE1-32AC-CC40-190B-B0964718E47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9</xdr:col>
      <xdr:colOff>15240</xdr:colOff>
      <xdr:row>13</xdr:row>
      <xdr:rowOff>175260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D97F887-5B92-49EA-A18C-F14EB38D271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30480</xdr:colOff>
      <xdr:row>14</xdr:row>
      <xdr:rowOff>7620</xdr:rowOff>
    </xdr:from>
    <xdr:to>
      <xdr:col>18</xdr:col>
      <xdr:colOff>0</xdr:colOff>
      <xdr:row>29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9D5CA64-CB79-4084-96D1-7BB2DF52537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22860</xdr:colOff>
      <xdr:row>0</xdr:row>
      <xdr:rowOff>0</xdr:rowOff>
    </xdr:from>
    <xdr:to>
      <xdr:col>18</xdr:col>
      <xdr:colOff>0</xdr:colOff>
      <xdr:row>14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0E1FCDC-799D-48AB-8832-8FB8D888460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13</xdr:row>
      <xdr:rowOff>175260</xdr:rowOff>
    </xdr:from>
    <xdr:to>
      <xdr:col>9</xdr:col>
      <xdr:colOff>30480</xdr:colOff>
      <xdr:row>28</xdr:row>
      <xdr:rowOff>175260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DF5E427-2D40-4C8B-B39C-7A20B50AE4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IJAY BHUSHAN SINGH" refreshedDate="45985.992413425927" createdVersion="8" refreshedVersion="8" minRefreshableVersion="3" recordCount="500" xr:uid="{985F29D3-11D9-4B4D-B8A3-69154FE2603E}">
  <cacheSource type="worksheet">
    <worksheetSource ref="A1:J501" sheet="Sheet1 - Given Sheet"/>
  </cacheSource>
  <cacheFields count="10">
    <cacheField name="Order_ID" numFmtId="0">
      <sharedItems containsSemiMixedTypes="0" containsString="0" containsNumber="1" containsInteger="1" minValue="1" maxValue="500"/>
    </cacheField>
    <cacheField name="Customer_ID" numFmtId="0">
      <sharedItems count="100">
        <s v="CUST1083"/>
        <s v="CUST1024"/>
        <s v="CUST1038"/>
        <s v="CUST1089"/>
        <s v="CUST1064"/>
        <s v="CUST1018"/>
        <s v="CUST1002"/>
        <s v="CUST1078"/>
        <s v="CUST1006"/>
        <s v="CUST1034"/>
        <s v="CUST1062"/>
        <s v="CUST1045"/>
        <s v="CUST1088"/>
        <s v="CUST1033"/>
        <s v="CUST1012"/>
        <s v="CUST1035"/>
        <s v="CUST1014"/>
        <s v="CUST1052"/>
        <s v="CUST1043"/>
        <s v="CUST1086"/>
        <s v="CUST1028"/>
        <s v="CUST1003"/>
        <s v="CUST1044"/>
        <s v="CUST1056"/>
        <s v="CUST1087"/>
        <s v="CUST1090"/>
        <s v="CUST1016"/>
        <s v="CUST1019"/>
        <s v="CUST1039"/>
        <s v="CUST1031"/>
        <s v="CUST1099"/>
        <s v="CUST1084"/>
        <s v="CUST1082"/>
        <s v="CUST1068"/>
        <s v="CUST1008"/>
        <s v="CUST1059"/>
        <s v="CUST1027"/>
        <s v="CUST1061"/>
        <s v="CUST1037"/>
        <s v="CUST1060"/>
        <s v="CUST1067"/>
        <s v="CUST1046"/>
        <s v="CUST1050"/>
        <s v="CUST1020"/>
        <s v="CUST1098"/>
        <s v="CUST1053"/>
        <s v="CUST1096"/>
        <s v="CUST1030"/>
        <s v="CUST1001"/>
        <s v="CUST1026"/>
        <s v="CUST1092"/>
        <s v="CUST1094"/>
        <s v="CUST1004"/>
        <s v="CUST1007"/>
        <s v="CUST1021"/>
        <s v="CUST1023"/>
        <s v="CUST1095"/>
        <s v="CUST1005"/>
        <s v="CUST1009"/>
        <s v="CUST1013"/>
        <s v="CUST1071"/>
        <s v="CUST1025"/>
        <s v="CUST1085"/>
        <s v="CUST1057"/>
        <s v="CUST1058"/>
        <s v="CUST1029"/>
        <s v="CUST1069"/>
        <s v="CUST1032"/>
        <s v="CUST1047"/>
        <s v="CUST1081"/>
        <s v="CUST1017"/>
        <s v="CUST1100"/>
        <s v="CUST1070"/>
        <s v="CUST1066"/>
        <s v="CUST1097"/>
        <s v="CUST1073"/>
        <s v="CUST1075"/>
        <s v="CUST1072"/>
        <s v="CUST1063"/>
        <s v="CUST1074"/>
        <s v="CUST1036"/>
        <s v="CUST1040"/>
        <s v="CUST1065"/>
        <s v="CUST1011"/>
        <s v="CUST1042"/>
        <s v="CUST1049"/>
        <s v="CUST1080"/>
        <s v="CUST1093"/>
        <s v="CUST1079"/>
        <s v="CUST1076"/>
        <s v="CUST1015"/>
        <s v="CUST1041"/>
        <s v="CUST1077"/>
        <s v="CUST1054"/>
        <s v="CUST1022"/>
        <s v="CUST1055"/>
        <s v="CUST1010"/>
        <s v="CUST1091"/>
        <s v="CUST1048"/>
        <s v="CUST1051"/>
      </sharedItems>
    </cacheField>
    <cacheField name="Order_Date" numFmtId="164">
      <sharedItems containsSemiMixedTypes="0" containsNonDate="0" containsDate="1" containsString="0" minDate="2024-01-01T00:00:00" maxDate="2024-10-27T00:00:00"/>
    </cacheField>
    <cacheField name="Region" numFmtId="0">
      <sharedItems/>
    </cacheField>
    <cacheField name="Category" numFmtId="0">
      <sharedItems count="5">
        <s v="Books"/>
        <s v="Fashion"/>
        <s v="Home Appliances"/>
        <s v="Groceries"/>
        <s v="Electronics"/>
      </sharedItems>
    </cacheField>
    <cacheField name="Product" numFmtId="0">
      <sharedItems count="20">
        <s v="Notebook"/>
        <s v="Jacket"/>
        <s v="Comics"/>
        <s v="Novel"/>
        <s v="Sneakers"/>
        <s v="Refrigerator"/>
        <s v="Bread"/>
        <s v="Blender"/>
        <s v="Milk"/>
        <s v="Rice"/>
        <s v="Smartwatch"/>
        <s v="T-shirt"/>
        <s v="Microwave"/>
        <s v="Magazine"/>
        <s v="Eggs"/>
        <s v="Headphones"/>
        <s v="Jeans"/>
        <s v="Washing Machine"/>
        <s v="Laptop"/>
        <s v="Smartphone"/>
      </sharedItems>
    </cacheField>
    <cacheField name="Quantity" numFmtId="0">
      <sharedItems containsSemiMixedTypes="0" containsString="0" containsNumber="1" containsInteger="1" minValue="1" maxValue="9"/>
    </cacheField>
    <cacheField name="Unit_Price" numFmtId="0">
      <sharedItems containsSemiMixedTypes="0" containsString="0" containsNumber="1" minValue="115.52" maxValue="4996.83"/>
    </cacheField>
    <cacheField name="Total_Amount" numFmtId="2">
      <sharedItems containsSemiMixedTypes="0" containsString="0" containsNumber="1" minValue="233.12" maxValue="42050.34"/>
    </cacheField>
    <cacheField name="Product_ID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IJAY BHUSHAN SINGH" refreshedDate="45986.037636921297" createdVersion="8" refreshedVersion="8" minRefreshableVersion="3" recordCount="501" xr:uid="{A7242630-51D4-4FEC-BFB6-BCEF8DA6B838}">
  <cacheSource type="worksheet">
    <worksheetSource ref="A1:J1048576" sheet="Sheet1 - Given Sheet"/>
  </cacheSource>
  <cacheFields count="10">
    <cacheField name="Order_ID" numFmtId="0">
      <sharedItems containsString="0" containsBlank="1" containsNumber="1" containsInteger="1" minValue="1" maxValue="500"/>
    </cacheField>
    <cacheField name="Customer_ID" numFmtId="0">
      <sharedItems containsBlank="1"/>
    </cacheField>
    <cacheField name="Order_Date" numFmtId="0">
      <sharedItems containsNonDate="0" containsDate="1" containsString="0" containsBlank="1" minDate="2024-01-01T00:00:00" maxDate="2024-10-27T00:00:00"/>
    </cacheField>
    <cacheField name="Region" numFmtId="0">
      <sharedItems containsBlank="1" count="5">
        <s v="West"/>
        <s v="East"/>
        <s v="South"/>
        <s v="North"/>
        <m/>
      </sharedItems>
    </cacheField>
    <cacheField name="Category" numFmtId="0">
      <sharedItems containsBlank="1" count="6">
        <s v="Books"/>
        <s v="Fashion"/>
        <s v="Home Appliances"/>
        <s v="Groceries"/>
        <s v="Electronics"/>
        <m/>
      </sharedItems>
    </cacheField>
    <cacheField name="Product" numFmtId="0">
      <sharedItems containsBlank="1" count="21">
        <s v="Notebook"/>
        <s v="Jacket"/>
        <s v="Comics"/>
        <s v="Novel"/>
        <s v="Sneakers"/>
        <s v="Refrigerator"/>
        <s v="Bread"/>
        <s v="Blender"/>
        <s v="Milk"/>
        <s v="Rice"/>
        <s v="Smartwatch"/>
        <s v="T-shirt"/>
        <s v="Microwave"/>
        <s v="Magazine"/>
        <s v="Eggs"/>
        <s v="Headphones"/>
        <s v="Jeans"/>
        <s v="Washing Machine"/>
        <s v="Laptop"/>
        <s v="Smartphone"/>
        <m/>
      </sharedItems>
    </cacheField>
    <cacheField name="Quantity" numFmtId="0">
      <sharedItems containsString="0" containsBlank="1" containsNumber="1" containsInteger="1" minValue="1" maxValue="9"/>
    </cacheField>
    <cacheField name="Unit_Price" numFmtId="0">
      <sharedItems containsString="0" containsBlank="1" containsNumber="1" minValue="115.52" maxValue="4996.83"/>
    </cacheField>
    <cacheField name="Total_Amount" numFmtId="2">
      <sharedItems containsString="0" containsBlank="1" containsNumber="1" minValue="233.12" maxValue="42050.34"/>
    </cacheField>
    <cacheField name="Product_ID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IJAY BHUSHAN SINGH" refreshedDate="45986.057404861109" createdVersion="8" refreshedVersion="8" minRefreshableVersion="3" recordCount="13" xr:uid="{528C34D0-8846-4EE3-93AB-85850F5A9939}">
  <cacheSource type="worksheet">
    <worksheetSource ref="A2:C15" sheet="MOM_Growth"/>
  </cacheSource>
  <cacheFields count="3">
    <cacheField name="Month" numFmtId="0">
      <sharedItems containsBlank="1" count="13">
        <m/>
        <s v="2024-01"/>
        <s v="2024-02"/>
        <s v="2024-03"/>
        <s v="2024-04"/>
        <s v="2024-05"/>
        <s v="2024-06"/>
        <s v="2024-07"/>
        <s v="2024-08"/>
        <s v="2024-09"/>
        <s v="2024-10"/>
        <s v="2024-11"/>
        <s v="2024-12"/>
      </sharedItems>
    </cacheField>
    <cacheField name="Total_Sales" numFmtId="0">
      <sharedItems containsString="0" containsBlank="1" containsNumber="1" minValue="0" maxValue="796530.73999999964" count="12">
        <m/>
        <n v="796530.73999999964"/>
        <n v="579576.01"/>
        <n v="527151.06000000017"/>
        <n v="603609.10999999987"/>
        <n v="605913.90000000014"/>
        <n v="700538.82000000018"/>
        <n v="487514.80000000016"/>
        <n v="584660.41"/>
        <n v="730754.04000000015"/>
        <n v="647733.27"/>
        <n v="0"/>
      </sharedItems>
    </cacheField>
    <cacheField name="MoM_Growth(%)" numFmtId="0">
      <sharedItems containsBlank="1" containsMixedTypes="1" containsNumber="1" minValue="-43.695908308834916" maxValue="19.99217547945408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">
  <r>
    <n v="1"/>
    <x v="0"/>
    <d v="2024-04-12T00:00:00"/>
    <s v="West"/>
    <x v="0"/>
    <x v="0"/>
    <n v="8"/>
    <n v="3033.43"/>
    <n v="24267.439999999999"/>
    <s v="P001"/>
  </r>
  <r>
    <n v="2"/>
    <x v="1"/>
    <d v="2024-08-02T00:00:00"/>
    <s v="East"/>
    <x v="1"/>
    <x v="1"/>
    <n v="5"/>
    <n v="3045.46"/>
    <n v="15227.3"/>
    <s v="P002"/>
  </r>
  <r>
    <n v="3"/>
    <x v="2"/>
    <d v="2024-05-10T00:00:00"/>
    <s v="South"/>
    <x v="0"/>
    <x v="2"/>
    <n v="8"/>
    <n v="4178.97"/>
    <n v="33431.760000000002"/>
    <s v="P003"/>
  </r>
  <r>
    <n v="4"/>
    <x v="3"/>
    <d v="2024-07-10T00:00:00"/>
    <s v="West"/>
    <x v="0"/>
    <x v="3"/>
    <n v="6"/>
    <n v="134.62"/>
    <n v="807.72"/>
    <s v="P004"/>
  </r>
  <r>
    <n v="5"/>
    <x v="4"/>
    <d v="2024-02-18T00:00:00"/>
    <s v="East"/>
    <x v="1"/>
    <x v="4"/>
    <n v="3"/>
    <n v="1974.06"/>
    <n v="5922.18"/>
    <s v="P005"/>
  </r>
  <r>
    <n v="6"/>
    <x v="5"/>
    <d v="2024-05-10T00:00:00"/>
    <s v="North"/>
    <x v="1"/>
    <x v="4"/>
    <n v="5"/>
    <n v="2307.4499999999998"/>
    <n v="11537.25"/>
    <s v="P005"/>
  </r>
  <r>
    <n v="7"/>
    <x v="6"/>
    <d v="2024-03-29T00:00:00"/>
    <s v="West"/>
    <x v="2"/>
    <x v="5"/>
    <n v="9"/>
    <n v="178.23"/>
    <n v="1604.07"/>
    <s v="P006"/>
  </r>
  <r>
    <n v="8"/>
    <x v="7"/>
    <d v="2024-04-01T00:00:00"/>
    <s v="East"/>
    <x v="3"/>
    <x v="6"/>
    <n v="8"/>
    <n v="268.5"/>
    <n v="2148"/>
    <s v="P007"/>
  </r>
  <r>
    <n v="9"/>
    <x v="8"/>
    <d v="2024-03-21T00:00:00"/>
    <s v="West"/>
    <x v="2"/>
    <x v="7"/>
    <n v="4"/>
    <n v="1627.38"/>
    <n v="6509.52"/>
    <s v="P008"/>
  </r>
  <r>
    <n v="10"/>
    <x v="9"/>
    <d v="2024-02-23T00:00:00"/>
    <s v="South"/>
    <x v="3"/>
    <x v="8"/>
    <n v="2"/>
    <n v="3898.15"/>
    <n v="7796.3"/>
    <s v="P009"/>
  </r>
  <r>
    <n v="11"/>
    <x v="10"/>
    <d v="2024-07-20T00:00:00"/>
    <s v="South"/>
    <x v="3"/>
    <x v="8"/>
    <n v="8"/>
    <n v="2895.18"/>
    <n v="23161.439999999999"/>
    <s v="P009"/>
  </r>
  <r>
    <n v="12"/>
    <x v="3"/>
    <d v="2024-10-22T00:00:00"/>
    <s v="North"/>
    <x v="0"/>
    <x v="2"/>
    <n v="5"/>
    <n v="2975.08"/>
    <n v="14875.4"/>
    <s v="P003"/>
  </r>
  <r>
    <n v="13"/>
    <x v="11"/>
    <d v="2024-09-08T00:00:00"/>
    <s v="West"/>
    <x v="3"/>
    <x v="9"/>
    <n v="9"/>
    <n v="1551.74"/>
    <n v="13965.66"/>
    <s v="P010"/>
  </r>
  <r>
    <n v="14"/>
    <x v="12"/>
    <d v="2024-03-05T00:00:00"/>
    <s v="North"/>
    <x v="4"/>
    <x v="10"/>
    <n v="1"/>
    <n v="1073.71"/>
    <n v="1073.71"/>
    <s v="P011"/>
  </r>
  <r>
    <n v="15"/>
    <x v="13"/>
    <d v="2024-03-03T00:00:00"/>
    <s v="East"/>
    <x v="1"/>
    <x v="11"/>
    <n v="8"/>
    <n v="3672.14"/>
    <n v="29377.119999999999"/>
    <s v="P012"/>
  </r>
  <r>
    <n v="16"/>
    <x v="14"/>
    <d v="2024-09-17T00:00:00"/>
    <s v="South"/>
    <x v="2"/>
    <x v="12"/>
    <n v="7"/>
    <n v="4265.1899999999996"/>
    <n v="29856.33"/>
    <s v="P013"/>
  </r>
  <r>
    <n v="17"/>
    <x v="15"/>
    <d v="2024-02-02T00:00:00"/>
    <s v="West"/>
    <x v="0"/>
    <x v="0"/>
    <n v="8"/>
    <n v="1446.14"/>
    <n v="11569.12"/>
    <s v="P001"/>
  </r>
  <r>
    <n v="18"/>
    <x v="16"/>
    <d v="2024-08-14T00:00:00"/>
    <s v="North"/>
    <x v="1"/>
    <x v="11"/>
    <n v="5"/>
    <n v="2850.26"/>
    <n v="14251.3"/>
    <s v="P012"/>
  </r>
  <r>
    <n v="19"/>
    <x v="17"/>
    <d v="2024-10-09T00:00:00"/>
    <s v="North"/>
    <x v="2"/>
    <x v="5"/>
    <n v="3"/>
    <n v="254"/>
    <n v="762"/>
    <s v="P006"/>
  </r>
  <r>
    <n v="20"/>
    <x v="18"/>
    <d v="2024-04-05T00:00:00"/>
    <s v="West"/>
    <x v="0"/>
    <x v="0"/>
    <n v="7"/>
    <n v="2110.88"/>
    <n v="14776.16"/>
    <s v="P001"/>
  </r>
  <r>
    <n v="21"/>
    <x v="19"/>
    <d v="2024-01-29T00:00:00"/>
    <s v="West"/>
    <x v="0"/>
    <x v="13"/>
    <n v="7"/>
    <n v="1519.78"/>
    <n v="10638.46"/>
    <s v="P014"/>
  </r>
  <r>
    <n v="22"/>
    <x v="20"/>
    <d v="2024-10-10T00:00:00"/>
    <s v="South"/>
    <x v="2"/>
    <x v="12"/>
    <n v="9"/>
    <n v="616.91999999999996"/>
    <n v="5552.28"/>
    <s v="P013"/>
  </r>
  <r>
    <n v="23"/>
    <x v="10"/>
    <d v="2024-01-28T00:00:00"/>
    <s v="West"/>
    <x v="3"/>
    <x v="14"/>
    <n v="7"/>
    <n v="4490.8500000000004"/>
    <n v="31435.95"/>
    <s v="P015"/>
  </r>
  <r>
    <n v="24"/>
    <x v="21"/>
    <d v="2024-08-12T00:00:00"/>
    <s v="North"/>
    <x v="4"/>
    <x v="15"/>
    <n v="9"/>
    <n v="4108.2700000000004"/>
    <n v="36974.43"/>
    <s v="P016"/>
  </r>
  <r>
    <n v="25"/>
    <x v="22"/>
    <d v="2024-07-16T00:00:00"/>
    <s v="West"/>
    <x v="1"/>
    <x v="11"/>
    <n v="5"/>
    <n v="3492.94"/>
    <n v="17464.7"/>
    <s v="P012"/>
  </r>
  <r>
    <n v="26"/>
    <x v="10"/>
    <d v="2024-05-31T00:00:00"/>
    <s v="East"/>
    <x v="1"/>
    <x v="16"/>
    <n v="8"/>
    <n v="3544.79"/>
    <n v="28358.32"/>
    <s v="P017"/>
  </r>
  <r>
    <n v="27"/>
    <x v="23"/>
    <d v="2024-02-21T00:00:00"/>
    <s v="West"/>
    <x v="2"/>
    <x v="17"/>
    <n v="1"/>
    <n v="825.63"/>
    <n v="825.63"/>
    <s v="P018"/>
  </r>
  <r>
    <n v="28"/>
    <x v="24"/>
    <d v="2024-03-21T00:00:00"/>
    <s v="East"/>
    <x v="4"/>
    <x v="18"/>
    <n v="2"/>
    <n v="2114.08"/>
    <n v="4228.16"/>
    <s v="P019"/>
  </r>
  <r>
    <n v="29"/>
    <x v="25"/>
    <d v="2024-08-11T00:00:00"/>
    <s v="North"/>
    <x v="4"/>
    <x v="15"/>
    <n v="2"/>
    <n v="2701.58"/>
    <n v="5403.16"/>
    <s v="P016"/>
  </r>
  <r>
    <n v="30"/>
    <x v="2"/>
    <d v="2024-06-08T00:00:00"/>
    <s v="South"/>
    <x v="3"/>
    <x v="6"/>
    <n v="8"/>
    <n v="1264.42"/>
    <n v="10115.36"/>
    <s v="P007"/>
  </r>
  <r>
    <n v="31"/>
    <x v="26"/>
    <d v="2024-10-06T00:00:00"/>
    <s v="North"/>
    <x v="3"/>
    <x v="8"/>
    <n v="6"/>
    <n v="2054.2399999999998"/>
    <n v="12325.44"/>
    <s v="P009"/>
  </r>
  <r>
    <n v="32"/>
    <x v="21"/>
    <d v="2024-04-06T00:00:00"/>
    <s v="North"/>
    <x v="3"/>
    <x v="6"/>
    <n v="6"/>
    <n v="3509.48"/>
    <n v="21056.880000000001"/>
    <s v="P007"/>
  </r>
  <r>
    <n v="33"/>
    <x v="27"/>
    <d v="2024-05-27T00:00:00"/>
    <s v="West"/>
    <x v="1"/>
    <x v="1"/>
    <n v="3"/>
    <n v="3584.63"/>
    <n v="10753.89"/>
    <s v="P002"/>
  </r>
  <r>
    <n v="34"/>
    <x v="28"/>
    <d v="2024-05-27T00:00:00"/>
    <s v="West"/>
    <x v="3"/>
    <x v="9"/>
    <n v="1"/>
    <n v="2048.1"/>
    <n v="2048.1"/>
    <s v="P010"/>
  </r>
  <r>
    <n v="35"/>
    <x v="29"/>
    <d v="2024-05-08T00:00:00"/>
    <s v="East"/>
    <x v="3"/>
    <x v="9"/>
    <n v="9"/>
    <n v="1124.45"/>
    <n v="10120.049999999999"/>
    <s v="P010"/>
  </r>
  <r>
    <n v="36"/>
    <x v="6"/>
    <d v="2024-10-24T00:00:00"/>
    <s v="East"/>
    <x v="3"/>
    <x v="14"/>
    <n v="9"/>
    <n v="2631.52"/>
    <n v="23683.68"/>
    <s v="P015"/>
  </r>
  <r>
    <n v="37"/>
    <x v="30"/>
    <d v="2024-09-10T00:00:00"/>
    <s v="West"/>
    <x v="0"/>
    <x v="3"/>
    <n v="7"/>
    <n v="1761.25"/>
    <n v="12328.75"/>
    <s v="P004"/>
  </r>
  <r>
    <n v="38"/>
    <x v="13"/>
    <d v="2024-05-26T00:00:00"/>
    <s v="West"/>
    <x v="1"/>
    <x v="1"/>
    <n v="8"/>
    <n v="2082.09"/>
    <n v="16656.72"/>
    <s v="P002"/>
  </r>
  <r>
    <n v="39"/>
    <x v="31"/>
    <d v="2024-04-25T00:00:00"/>
    <s v="East"/>
    <x v="4"/>
    <x v="10"/>
    <n v="4"/>
    <n v="4502.92"/>
    <n v="18011.68"/>
    <s v="P011"/>
  </r>
  <r>
    <n v="40"/>
    <x v="32"/>
    <d v="2024-09-10T00:00:00"/>
    <s v="East"/>
    <x v="4"/>
    <x v="15"/>
    <n v="9"/>
    <n v="124.8"/>
    <n v="1123.2"/>
    <s v="P016"/>
  </r>
  <r>
    <n v="41"/>
    <x v="33"/>
    <d v="2024-07-12T00:00:00"/>
    <s v="South"/>
    <x v="1"/>
    <x v="1"/>
    <n v="9"/>
    <n v="962.03"/>
    <n v="8658.27"/>
    <s v="P002"/>
  </r>
  <r>
    <n v="42"/>
    <x v="34"/>
    <d v="2024-10-15T00:00:00"/>
    <s v="South"/>
    <x v="0"/>
    <x v="13"/>
    <n v="4"/>
    <n v="1895.7"/>
    <n v="7582.8"/>
    <s v="P014"/>
  </r>
  <r>
    <n v="43"/>
    <x v="35"/>
    <d v="2024-05-14T00:00:00"/>
    <s v="East"/>
    <x v="4"/>
    <x v="10"/>
    <n v="1"/>
    <n v="2758.45"/>
    <n v="2758.45"/>
    <s v="P011"/>
  </r>
  <r>
    <n v="44"/>
    <x v="36"/>
    <d v="2024-01-22T00:00:00"/>
    <s v="South"/>
    <x v="0"/>
    <x v="0"/>
    <n v="6"/>
    <n v="4539.88"/>
    <n v="27239.279999999999"/>
    <s v="P001"/>
  </r>
  <r>
    <n v="45"/>
    <x v="37"/>
    <d v="2024-08-13T00:00:00"/>
    <s v="North"/>
    <x v="4"/>
    <x v="10"/>
    <n v="1"/>
    <n v="1056.69"/>
    <n v="1056.69"/>
    <s v="P011"/>
  </r>
  <r>
    <n v="46"/>
    <x v="22"/>
    <d v="2024-05-26T00:00:00"/>
    <s v="West"/>
    <x v="1"/>
    <x v="1"/>
    <n v="1"/>
    <n v="313.66000000000003"/>
    <n v="313.66000000000003"/>
    <s v="P002"/>
  </r>
  <r>
    <n v="47"/>
    <x v="38"/>
    <d v="2024-08-07T00:00:00"/>
    <s v="South"/>
    <x v="0"/>
    <x v="2"/>
    <n v="5"/>
    <n v="4429.12"/>
    <n v="22145.599999999999"/>
    <s v="P003"/>
  </r>
  <r>
    <n v="48"/>
    <x v="39"/>
    <d v="2024-10-06T00:00:00"/>
    <s v="North"/>
    <x v="4"/>
    <x v="18"/>
    <n v="5"/>
    <n v="2904.23"/>
    <n v="14521.15"/>
    <s v="P019"/>
  </r>
  <r>
    <n v="49"/>
    <x v="40"/>
    <d v="2024-04-25T00:00:00"/>
    <s v="East"/>
    <x v="0"/>
    <x v="3"/>
    <n v="7"/>
    <n v="1415.53"/>
    <n v="9908.7099999999991"/>
    <s v="P004"/>
  </r>
  <r>
    <n v="50"/>
    <x v="41"/>
    <d v="2024-05-07T00:00:00"/>
    <s v="South"/>
    <x v="4"/>
    <x v="18"/>
    <n v="6"/>
    <n v="3510.55"/>
    <n v="21063.3"/>
    <s v="P019"/>
  </r>
  <r>
    <n v="51"/>
    <x v="13"/>
    <d v="2024-10-06T00:00:00"/>
    <s v="South"/>
    <x v="2"/>
    <x v="17"/>
    <n v="2"/>
    <n v="1680.5"/>
    <n v="3361"/>
    <s v="P018"/>
  </r>
  <r>
    <n v="52"/>
    <x v="42"/>
    <d v="2024-10-25T00:00:00"/>
    <s v="South"/>
    <x v="0"/>
    <x v="2"/>
    <n v="7"/>
    <n v="2156.9299999999998"/>
    <n v="15098.51"/>
    <s v="P003"/>
  </r>
  <r>
    <n v="53"/>
    <x v="43"/>
    <d v="2024-01-13T00:00:00"/>
    <s v="West"/>
    <x v="2"/>
    <x v="17"/>
    <n v="9"/>
    <n v="3176.68"/>
    <n v="28590.12"/>
    <s v="P018"/>
  </r>
  <r>
    <n v="54"/>
    <x v="44"/>
    <d v="2024-09-20T00:00:00"/>
    <s v="West"/>
    <x v="3"/>
    <x v="6"/>
    <n v="7"/>
    <n v="235.32"/>
    <n v="1647.24"/>
    <s v="P007"/>
  </r>
  <r>
    <n v="55"/>
    <x v="19"/>
    <d v="2024-10-14T00:00:00"/>
    <s v="East"/>
    <x v="1"/>
    <x v="11"/>
    <n v="6"/>
    <n v="2995.08"/>
    <n v="17970.48"/>
    <s v="P012"/>
  </r>
  <r>
    <n v="56"/>
    <x v="45"/>
    <d v="2024-06-28T00:00:00"/>
    <s v="South"/>
    <x v="1"/>
    <x v="1"/>
    <n v="5"/>
    <n v="2658.99"/>
    <n v="13294.95"/>
    <s v="P002"/>
  </r>
  <r>
    <n v="57"/>
    <x v="46"/>
    <d v="2024-02-29T00:00:00"/>
    <s v="West"/>
    <x v="3"/>
    <x v="9"/>
    <n v="7"/>
    <n v="518.20000000000005"/>
    <n v="3627.4"/>
    <s v="P010"/>
  </r>
  <r>
    <n v="58"/>
    <x v="47"/>
    <d v="2024-02-16T00:00:00"/>
    <s v="East"/>
    <x v="3"/>
    <x v="14"/>
    <n v="2"/>
    <n v="2629.87"/>
    <n v="5259.74"/>
    <s v="P015"/>
  </r>
  <r>
    <n v="59"/>
    <x v="25"/>
    <d v="2024-05-26T00:00:00"/>
    <s v="North"/>
    <x v="1"/>
    <x v="1"/>
    <n v="7"/>
    <n v="1329.22"/>
    <n v="9304.5400000000009"/>
    <s v="P002"/>
  </r>
  <r>
    <n v="60"/>
    <x v="48"/>
    <d v="2024-04-26T00:00:00"/>
    <s v="South"/>
    <x v="4"/>
    <x v="10"/>
    <n v="5"/>
    <n v="385.15"/>
    <n v="1925.75"/>
    <s v="P011"/>
  </r>
  <r>
    <n v="61"/>
    <x v="37"/>
    <d v="2024-08-26T00:00:00"/>
    <s v="South"/>
    <x v="4"/>
    <x v="10"/>
    <n v="5"/>
    <n v="3227.53"/>
    <n v="16137.65"/>
    <s v="P011"/>
  </r>
  <r>
    <n v="62"/>
    <x v="49"/>
    <d v="2024-07-10T00:00:00"/>
    <s v="East"/>
    <x v="0"/>
    <x v="2"/>
    <n v="7"/>
    <n v="333.81"/>
    <n v="2336.67"/>
    <s v="P003"/>
  </r>
  <r>
    <n v="63"/>
    <x v="50"/>
    <d v="2024-05-23T00:00:00"/>
    <s v="East"/>
    <x v="0"/>
    <x v="2"/>
    <n v="9"/>
    <n v="1775.21"/>
    <n v="15976.89"/>
    <s v="P003"/>
  </r>
  <r>
    <n v="64"/>
    <x v="26"/>
    <d v="2024-03-09T00:00:00"/>
    <s v="East"/>
    <x v="4"/>
    <x v="18"/>
    <n v="4"/>
    <n v="959.12"/>
    <n v="3836.48"/>
    <s v="P019"/>
  </r>
  <r>
    <n v="65"/>
    <x v="51"/>
    <d v="2024-08-05T00:00:00"/>
    <s v="South"/>
    <x v="0"/>
    <x v="0"/>
    <n v="4"/>
    <n v="948.69"/>
    <n v="3794.76"/>
    <s v="P001"/>
  </r>
  <r>
    <n v="66"/>
    <x v="17"/>
    <d v="2024-01-23T00:00:00"/>
    <s v="South"/>
    <x v="2"/>
    <x v="5"/>
    <n v="5"/>
    <n v="4444.7299999999996"/>
    <n v="22223.65"/>
    <s v="P006"/>
  </r>
  <r>
    <n v="67"/>
    <x v="52"/>
    <d v="2024-08-10T00:00:00"/>
    <s v="South"/>
    <x v="2"/>
    <x v="17"/>
    <n v="1"/>
    <n v="2742.95"/>
    <n v="2742.95"/>
    <s v="P018"/>
  </r>
  <r>
    <n v="68"/>
    <x v="42"/>
    <d v="2024-01-16T00:00:00"/>
    <s v="West"/>
    <x v="2"/>
    <x v="12"/>
    <n v="4"/>
    <n v="2919.82"/>
    <n v="11679.28"/>
    <s v="P013"/>
  </r>
  <r>
    <n v="69"/>
    <x v="14"/>
    <d v="2024-06-11T00:00:00"/>
    <s v="West"/>
    <x v="4"/>
    <x v="19"/>
    <n v="3"/>
    <n v="4121.13"/>
    <n v="12363.39"/>
    <s v="P020"/>
  </r>
  <r>
    <n v="70"/>
    <x v="15"/>
    <d v="2024-03-05T00:00:00"/>
    <s v="North"/>
    <x v="2"/>
    <x v="17"/>
    <n v="2"/>
    <n v="290.92"/>
    <n v="581.84"/>
    <s v="P018"/>
  </r>
  <r>
    <n v="71"/>
    <x v="53"/>
    <d v="2024-08-02T00:00:00"/>
    <s v="North"/>
    <x v="2"/>
    <x v="7"/>
    <n v="2"/>
    <n v="1377.4"/>
    <n v="2754.8"/>
    <s v="P008"/>
  </r>
  <r>
    <n v="72"/>
    <x v="54"/>
    <d v="2024-07-14T00:00:00"/>
    <s v="South"/>
    <x v="0"/>
    <x v="2"/>
    <n v="8"/>
    <n v="3701.85"/>
    <n v="29614.799999999999"/>
    <s v="P003"/>
  </r>
  <r>
    <n v="73"/>
    <x v="30"/>
    <d v="2024-09-05T00:00:00"/>
    <s v="West"/>
    <x v="2"/>
    <x v="12"/>
    <n v="9"/>
    <n v="2885.75"/>
    <n v="25971.75"/>
    <s v="P013"/>
  </r>
  <r>
    <n v="74"/>
    <x v="1"/>
    <d v="2024-06-25T00:00:00"/>
    <s v="East"/>
    <x v="3"/>
    <x v="8"/>
    <n v="1"/>
    <n v="3904.42"/>
    <n v="3904.42"/>
    <s v="P009"/>
  </r>
  <r>
    <n v="75"/>
    <x v="55"/>
    <d v="2024-05-30T00:00:00"/>
    <s v="South"/>
    <x v="0"/>
    <x v="13"/>
    <n v="1"/>
    <n v="3431.24"/>
    <n v="3431.24"/>
    <s v="P014"/>
  </r>
  <r>
    <n v="76"/>
    <x v="31"/>
    <d v="2024-08-04T00:00:00"/>
    <s v="East"/>
    <x v="4"/>
    <x v="18"/>
    <n v="1"/>
    <n v="2718.2"/>
    <n v="2718.2"/>
    <s v="P019"/>
  </r>
  <r>
    <n v="77"/>
    <x v="14"/>
    <d v="2024-08-04T00:00:00"/>
    <s v="South"/>
    <x v="0"/>
    <x v="0"/>
    <n v="3"/>
    <n v="2007.09"/>
    <n v="6021.27"/>
    <s v="P001"/>
  </r>
  <r>
    <n v="78"/>
    <x v="56"/>
    <d v="2024-08-20T00:00:00"/>
    <s v="East"/>
    <x v="3"/>
    <x v="9"/>
    <n v="7"/>
    <n v="4788.32"/>
    <n v="33518.239999999998"/>
    <s v="P010"/>
  </r>
  <r>
    <n v="79"/>
    <x v="14"/>
    <d v="2024-02-21T00:00:00"/>
    <s v="East"/>
    <x v="2"/>
    <x v="17"/>
    <n v="5"/>
    <n v="549.35"/>
    <n v="2746.75"/>
    <s v="P018"/>
  </r>
  <r>
    <n v="80"/>
    <x v="26"/>
    <d v="2024-01-25T00:00:00"/>
    <s v="West"/>
    <x v="1"/>
    <x v="11"/>
    <n v="4"/>
    <n v="4736.3500000000004"/>
    <n v="18945.400000000001"/>
    <s v="P012"/>
  </r>
  <r>
    <n v="81"/>
    <x v="57"/>
    <d v="2024-02-26T00:00:00"/>
    <s v="East"/>
    <x v="0"/>
    <x v="3"/>
    <n v="7"/>
    <n v="4980.0600000000004"/>
    <n v="34860.42"/>
    <s v="P004"/>
  </r>
  <r>
    <n v="82"/>
    <x v="58"/>
    <d v="2024-06-11T00:00:00"/>
    <s v="East"/>
    <x v="0"/>
    <x v="0"/>
    <n v="2"/>
    <n v="4846.3900000000003"/>
    <n v="9692.7800000000007"/>
    <s v="P001"/>
  </r>
  <r>
    <n v="83"/>
    <x v="59"/>
    <d v="2024-03-14T00:00:00"/>
    <s v="South"/>
    <x v="3"/>
    <x v="9"/>
    <n v="6"/>
    <n v="512.12"/>
    <n v="3072.72"/>
    <s v="P010"/>
  </r>
  <r>
    <n v="84"/>
    <x v="38"/>
    <d v="2024-06-16T00:00:00"/>
    <s v="South"/>
    <x v="4"/>
    <x v="18"/>
    <n v="2"/>
    <n v="498.61"/>
    <n v="997.22"/>
    <s v="P019"/>
  </r>
  <r>
    <n v="85"/>
    <x v="60"/>
    <d v="2024-05-15T00:00:00"/>
    <s v="West"/>
    <x v="0"/>
    <x v="3"/>
    <n v="6"/>
    <n v="4082.72"/>
    <n v="24496.32"/>
    <s v="P004"/>
  </r>
  <r>
    <n v="86"/>
    <x v="27"/>
    <d v="2024-08-04T00:00:00"/>
    <s v="North"/>
    <x v="3"/>
    <x v="14"/>
    <n v="6"/>
    <n v="3570.09"/>
    <n v="21420.54"/>
    <s v="P015"/>
  </r>
  <r>
    <n v="87"/>
    <x v="40"/>
    <d v="2024-06-30T00:00:00"/>
    <s v="East"/>
    <x v="1"/>
    <x v="16"/>
    <n v="3"/>
    <n v="644.87"/>
    <n v="1934.61"/>
    <s v="P017"/>
  </r>
  <r>
    <n v="88"/>
    <x v="37"/>
    <d v="2024-06-21T00:00:00"/>
    <s v="North"/>
    <x v="2"/>
    <x v="7"/>
    <n v="4"/>
    <n v="682.21"/>
    <n v="2728.84"/>
    <s v="P008"/>
  </r>
  <r>
    <n v="89"/>
    <x v="61"/>
    <d v="2024-01-01T00:00:00"/>
    <s v="East"/>
    <x v="0"/>
    <x v="13"/>
    <n v="9"/>
    <n v="1936.87"/>
    <n v="17431.830000000002"/>
    <s v="P014"/>
  </r>
  <r>
    <n v="90"/>
    <x v="62"/>
    <d v="2024-04-26T00:00:00"/>
    <s v="South"/>
    <x v="2"/>
    <x v="7"/>
    <n v="5"/>
    <n v="312.66000000000003"/>
    <n v="1563.3"/>
    <s v="P008"/>
  </r>
  <r>
    <n v="91"/>
    <x v="63"/>
    <d v="2024-07-21T00:00:00"/>
    <s v="West"/>
    <x v="0"/>
    <x v="13"/>
    <n v="3"/>
    <n v="3507.51"/>
    <n v="10522.53"/>
    <s v="P014"/>
  </r>
  <r>
    <n v="92"/>
    <x v="21"/>
    <d v="2024-02-16T00:00:00"/>
    <s v="North"/>
    <x v="4"/>
    <x v="18"/>
    <n v="1"/>
    <n v="3175.03"/>
    <n v="3175.03"/>
    <s v="P019"/>
  </r>
  <r>
    <n v="93"/>
    <x v="1"/>
    <d v="2024-05-23T00:00:00"/>
    <s v="East"/>
    <x v="4"/>
    <x v="15"/>
    <n v="8"/>
    <n v="2033.16"/>
    <n v="16265.28"/>
    <s v="P016"/>
  </r>
  <r>
    <n v="94"/>
    <x v="64"/>
    <d v="2024-06-04T00:00:00"/>
    <s v="North"/>
    <x v="2"/>
    <x v="7"/>
    <n v="4"/>
    <n v="2372.12"/>
    <n v="9488.48"/>
    <s v="P008"/>
  </r>
  <r>
    <n v="95"/>
    <x v="36"/>
    <d v="2024-06-26T00:00:00"/>
    <s v="West"/>
    <x v="3"/>
    <x v="9"/>
    <n v="9"/>
    <n v="1373.75"/>
    <n v="12363.75"/>
    <s v="P010"/>
  </r>
  <r>
    <n v="96"/>
    <x v="65"/>
    <d v="2024-05-24T00:00:00"/>
    <s v="North"/>
    <x v="4"/>
    <x v="19"/>
    <n v="4"/>
    <n v="3053.63"/>
    <n v="12214.52"/>
    <s v="P020"/>
  </r>
  <r>
    <n v="97"/>
    <x v="66"/>
    <d v="2024-02-15T00:00:00"/>
    <s v="East"/>
    <x v="0"/>
    <x v="2"/>
    <n v="2"/>
    <n v="2141.5300000000002"/>
    <n v="4283.0600000000004"/>
    <s v="P003"/>
  </r>
  <r>
    <n v="98"/>
    <x v="13"/>
    <d v="2024-01-10T00:00:00"/>
    <s v="West"/>
    <x v="2"/>
    <x v="17"/>
    <n v="5"/>
    <n v="229.2"/>
    <n v="1146"/>
    <s v="P018"/>
  </r>
  <r>
    <n v="99"/>
    <x v="3"/>
    <d v="2024-03-05T00:00:00"/>
    <s v="South"/>
    <x v="4"/>
    <x v="15"/>
    <n v="5"/>
    <n v="3772.93"/>
    <n v="18864.650000000001"/>
    <s v="P016"/>
  </r>
  <r>
    <n v="100"/>
    <x v="48"/>
    <d v="2024-10-09T00:00:00"/>
    <s v="North"/>
    <x v="0"/>
    <x v="3"/>
    <n v="2"/>
    <n v="280.43"/>
    <n v="560.86"/>
    <s v="P004"/>
  </r>
  <r>
    <n v="101"/>
    <x v="45"/>
    <d v="2024-01-06T00:00:00"/>
    <s v="West"/>
    <x v="4"/>
    <x v="19"/>
    <n v="5"/>
    <n v="4983.5200000000004"/>
    <n v="24917.599999999999"/>
    <s v="P020"/>
  </r>
  <r>
    <n v="102"/>
    <x v="7"/>
    <d v="2024-01-23T00:00:00"/>
    <s v="North"/>
    <x v="0"/>
    <x v="3"/>
    <n v="3"/>
    <n v="1312.01"/>
    <n v="3936.03"/>
    <s v="P004"/>
  </r>
  <r>
    <n v="103"/>
    <x v="67"/>
    <d v="2024-01-01T00:00:00"/>
    <s v="East"/>
    <x v="0"/>
    <x v="3"/>
    <n v="4"/>
    <n v="1220.3499999999999"/>
    <n v="4881.3999999999996"/>
    <s v="P004"/>
  </r>
  <r>
    <n v="104"/>
    <x v="21"/>
    <d v="2024-02-03T00:00:00"/>
    <s v="West"/>
    <x v="2"/>
    <x v="5"/>
    <n v="2"/>
    <n v="2433.4299999999998"/>
    <n v="4866.8599999999997"/>
    <s v="P006"/>
  </r>
  <r>
    <n v="105"/>
    <x v="68"/>
    <d v="2024-09-24T00:00:00"/>
    <s v="North"/>
    <x v="3"/>
    <x v="9"/>
    <n v="9"/>
    <n v="2990.78"/>
    <n v="26917.02"/>
    <s v="P010"/>
  </r>
  <r>
    <n v="106"/>
    <x v="2"/>
    <d v="2024-07-25T00:00:00"/>
    <s v="North"/>
    <x v="0"/>
    <x v="2"/>
    <n v="2"/>
    <n v="4044.72"/>
    <n v="8089.44"/>
    <s v="P003"/>
  </r>
  <r>
    <n v="107"/>
    <x v="47"/>
    <d v="2024-07-10T00:00:00"/>
    <s v="West"/>
    <x v="2"/>
    <x v="5"/>
    <n v="2"/>
    <n v="2990.6"/>
    <n v="5981.2"/>
    <s v="P006"/>
  </r>
  <r>
    <n v="108"/>
    <x v="69"/>
    <d v="2024-09-05T00:00:00"/>
    <s v="South"/>
    <x v="4"/>
    <x v="10"/>
    <n v="7"/>
    <n v="2665.65"/>
    <n v="18659.55"/>
    <s v="P011"/>
  </r>
  <r>
    <n v="109"/>
    <x v="70"/>
    <d v="2024-05-12T00:00:00"/>
    <s v="North"/>
    <x v="3"/>
    <x v="8"/>
    <n v="8"/>
    <n v="4226.25"/>
    <n v="33810"/>
    <s v="P009"/>
  </r>
  <r>
    <n v="110"/>
    <x v="55"/>
    <d v="2024-03-09T00:00:00"/>
    <s v="South"/>
    <x v="0"/>
    <x v="2"/>
    <n v="3"/>
    <n v="2732.59"/>
    <n v="8197.77"/>
    <s v="P003"/>
  </r>
  <r>
    <n v="111"/>
    <x v="52"/>
    <d v="2024-07-01T00:00:00"/>
    <s v="West"/>
    <x v="1"/>
    <x v="16"/>
    <n v="8"/>
    <n v="982.33"/>
    <n v="7858.64"/>
    <s v="P017"/>
  </r>
  <r>
    <n v="112"/>
    <x v="67"/>
    <d v="2024-07-02T00:00:00"/>
    <s v="North"/>
    <x v="1"/>
    <x v="1"/>
    <n v="3"/>
    <n v="2624.66"/>
    <n v="7873.98"/>
    <s v="P002"/>
  </r>
  <r>
    <n v="113"/>
    <x v="50"/>
    <d v="2024-03-01T00:00:00"/>
    <s v="South"/>
    <x v="1"/>
    <x v="4"/>
    <n v="5"/>
    <n v="927.78"/>
    <n v="4638.8999999999996"/>
    <s v="P005"/>
  </r>
  <r>
    <n v="114"/>
    <x v="14"/>
    <d v="2024-06-18T00:00:00"/>
    <s v="North"/>
    <x v="0"/>
    <x v="2"/>
    <n v="1"/>
    <n v="2718.68"/>
    <n v="2718.68"/>
    <s v="P003"/>
  </r>
  <r>
    <n v="115"/>
    <x v="68"/>
    <d v="2024-02-15T00:00:00"/>
    <s v="South"/>
    <x v="4"/>
    <x v="18"/>
    <n v="9"/>
    <n v="552.22"/>
    <n v="4969.9799999999996"/>
    <s v="P019"/>
  </r>
  <r>
    <n v="116"/>
    <x v="48"/>
    <d v="2024-04-30T00:00:00"/>
    <s v="South"/>
    <x v="1"/>
    <x v="4"/>
    <n v="1"/>
    <n v="1456.7"/>
    <n v="1456.7"/>
    <s v="P005"/>
  </r>
  <r>
    <n v="117"/>
    <x v="23"/>
    <d v="2024-01-08T00:00:00"/>
    <s v="North"/>
    <x v="1"/>
    <x v="11"/>
    <n v="4"/>
    <n v="1125.81"/>
    <n v="4503.24"/>
    <s v="P012"/>
  </r>
  <r>
    <n v="118"/>
    <x v="6"/>
    <d v="2024-08-01T00:00:00"/>
    <s v="South"/>
    <x v="2"/>
    <x v="7"/>
    <n v="7"/>
    <n v="2703.2"/>
    <n v="18922.400000000001"/>
    <s v="P008"/>
  </r>
  <r>
    <n v="119"/>
    <x v="55"/>
    <d v="2024-06-02T00:00:00"/>
    <s v="South"/>
    <x v="1"/>
    <x v="1"/>
    <n v="3"/>
    <n v="3595.41"/>
    <n v="10786.23"/>
    <s v="P002"/>
  </r>
  <r>
    <n v="120"/>
    <x v="30"/>
    <d v="2024-08-25T00:00:00"/>
    <s v="East"/>
    <x v="3"/>
    <x v="9"/>
    <n v="2"/>
    <n v="2292.3200000000002"/>
    <n v="4584.6400000000003"/>
    <s v="P010"/>
  </r>
  <r>
    <n v="121"/>
    <x v="28"/>
    <d v="2024-01-15T00:00:00"/>
    <s v="West"/>
    <x v="4"/>
    <x v="15"/>
    <n v="5"/>
    <n v="993.19"/>
    <n v="4965.95"/>
    <s v="P016"/>
  </r>
  <r>
    <n v="122"/>
    <x v="31"/>
    <d v="2024-09-29T00:00:00"/>
    <s v="East"/>
    <x v="2"/>
    <x v="5"/>
    <n v="9"/>
    <n v="4463.58"/>
    <n v="40172.22"/>
    <s v="P006"/>
  </r>
  <r>
    <n v="123"/>
    <x v="71"/>
    <d v="2024-01-25T00:00:00"/>
    <s v="West"/>
    <x v="2"/>
    <x v="17"/>
    <n v="9"/>
    <n v="2542.37"/>
    <n v="22881.33"/>
    <s v="P018"/>
  </r>
  <r>
    <n v="124"/>
    <x v="0"/>
    <d v="2024-04-20T00:00:00"/>
    <s v="South"/>
    <x v="2"/>
    <x v="17"/>
    <n v="8"/>
    <n v="2974.02"/>
    <n v="23792.16"/>
    <s v="P018"/>
  </r>
  <r>
    <n v="125"/>
    <x v="44"/>
    <d v="2024-02-11T00:00:00"/>
    <s v="North"/>
    <x v="0"/>
    <x v="2"/>
    <n v="4"/>
    <n v="3264.99"/>
    <n v="13059.96"/>
    <s v="P003"/>
  </r>
  <r>
    <n v="126"/>
    <x v="72"/>
    <d v="2024-08-16T00:00:00"/>
    <s v="North"/>
    <x v="4"/>
    <x v="19"/>
    <n v="6"/>
    <n v="1204.1300000000001"/>
    <n v="7224.78"/>
    <s v="P020"/>
  </r>
  <r>
    <n v="127"/>
    <x v="21"/>
    <d v="2024-04-21T00:00:00"/>
    <s v="West"/>
    <x v="1"/>
    <x v="16"/>
    <n v="8"/>
    <n v="4494.1499999999996"/>
    <n v="35953.199999999997"/>
    <s v="P017"/>
  </r>
  <r>
    <n v="128"/>
    <x v="73"/>
    <d v="2024-08-30T00:00:00"/>
    <s v="East"/>
    <x v="0"/>
    <x v="13"/>
    <n v="8"/>
    <n v="648.99"/>
    <n v="5191.92"/>
    <s v="P014"/>
  </r>
  <r>
    <n v="129"/>
    <x v="51"/>
    <d v="2024-08-07T00:00:00"/>
    <s v="East"/>
    <x v="3"/>
    <x v="6"/>
    <n v="6"/>
    <n v="4877.83"/>
    <n v="29266.98"/>
    <s v="P007"/>
  </r>
  <r>
    <n v="130"/>
    <x v="11"/>
    <d v="2024-03-02T00:00:00"/>
    <s v="North"/>
    <x v="2"/>
    <x v="17"/>
    <n v="8"/>
    <n v="2435.44"/>
    <n v="19483.52"/>
    <s v="P018"/>
  </r>
  <r>
    <n v="131"/>
    <x v="74"/>
    <d v="2024-10-26T00:00:00"/>
    <s v="North"/>
    <x v="2"/>
    <x v="5"/>
    <n v="4"/>
    <n v="2184.64"/>
    <n v="8738.56"/>
    <s v="P006"/>
  </r>
  <r>
    <n v="132"/>
    <x v="4"/>
    <d v="2024-01-20T00:00:00"/>
    <s v="North"/>
    <x v="3"/>
    <x v="6"/>
    <n v="1"/>
    <n v="3092.04"/>
    <n v="3092.04"/>
    <s v="P007"/>
  </r>
  <r>
    <n v="133"/>
    <x v="21"/>
    <d v="2024-02-07T00:00:00"/>
    <s v="North"/>
    <x v="1"/>
    <x v="4"/>
    <n v="4"/>
    <n v="1671.15"/>
    <n v="6684.6"/>
    <s v="P005"/>
  </r>
  <r>
    <n v="134"/>
    <x v="22"/>
    <d v="2024-06-09T00:00:00"/>
    <s v="South"/>
    <x v="2"/>
    <x v="7"/>
    <n v="5"/>
    <n v="410.54"/>
    <n v="2052.6999999999998"/>
    <s v="P008"/>
  </r>
  <r>
    <n v="135"/>
    <x v="75"/>
    <d v="2024-01-13T00:00:00"/>
    <s v="West"/>
    <x v="2"/>
    <x v="7"/>
    <n v="1"/>
    <n v="780.24"/>
    <n v="780.24"/>
    <s v="P008"/>
  </r>
  <r>
    <n v="136"/>
    <x v="15"/>
    <d v="2024-09-29T00:00:00"/>
    <s v="North"/>
    <x v="1"/>
    <x v="4"/>
    <n v="8"/>
    <n v="3069.9"/>
    <n v="24559.200000000001"/>
    <s v="P005"/>
  </r>
  <r>
    <n v="137"/>
    <x v="76"/>
    <d v="2024-04-03T00:00:00"/>
    <s v="East"/>
    <x v="4"/>
    <x v="19"/>
    <n v="2"/>
    <n v="709.06"/>
    <n v="1418.12"/>
    <s v="P020"/>
  </r>
  <r>
    <n v="138"/>
    <x v="4"/>
    <d v="2024-05-16T00:00:00"/>
    <s v="South"/>
    <x v="3"/>
    <x v="6"/>
    <n v="3"/>
    <n v="4639.6000000000004"/>
    <n v="13918.8"/>
    <s v="P007"/>
  </r>
  <r>
    <n v="139"/>
    <x v="39"/>
    <d v="2024-02-29T00:00:00"/>
    <s v="West"/>
    <x v="0"/>
    <x v="13"/>
    <n v="9"/>
    <n v="3777.46"/>
    <n v="33997.14"/>
    <s v="P014"/>
  </r>
  <r>
    <n v="140"/>
    <x v="7"/>
    <d v="2024-10-12T00:00:00"/>
    <s v="East"/>
    <x v="0"/>
    <x v="3"/>
    <n v="5"/>
    <n v="1254.8900000000001"/>
    <n v="6274.45"/>
    <s v="P004"/>
  </r>
  <r>
    <n v="141"/>
    <x v="77"/>
    <d v="2024-03-02T00:00:00"/>
    <s v="West"/>
    <x v="4"/>
    <x v="19"/>
    <n v="9"/>
    <n v="3446.61"/>
    <n v="31019.49"/>
    <s v="P020"/>
  </r>
  <r>
    <n v="142"/>
    <x v="78"/>
    <d v="2024-10-21T00:00:00"/>
    <s v="West"/>
    <x v="1"/>
    <x v="11"/>
    <n v="6"/>
    <n v="2744.93"/>
    <n v="16469.580000000002"/>
    <s v="P012"/>
  </r>
  <r>
    <n v="143"/>
    <x v="73"/>
    <d v="2024-05-22T00:00:00"/>
    <s v="North"/>
    <x v="4"/>
    <x v="19"/>
    <n v="1"/>
    <n v="2018.26"/>
    <n v="2018.26"/>
    <s v="P020"/>
  </r>
  <r>
    <n v="144"/>
    <x v="40"/>
    <d v="2024-04-13T00:00:00"/>
    <s v="West"/>
    <x v="1"/>
    <x v="4"/>
    <n v="3"/>
    <n v="2214.4899999999998"/>
    <n v="6643.47"/>
    <s v="P005"/>
  </r>
  <r>
    <n v="145"/>
    <x v="65"/>
    <d v="2024-06-27T00:00:00"/>
    <s v="West"/>
    <x v="2"/>
    <x v="7"/>
    <n v="4"/>
    <n v="3990.72"/>
    <n v="15962.88"/>
    <s v="P008"/>
  </r>
  <r>
    <n v="146"/>
    <x v="36"/>
    <d v="2024-10-15T00:00:00"/>
    <s v="West"/>
    <x v="1"/>
    <x v="1"/>
    <n v="6"/>
    <n v="3786.78"/>
    <n v="22720.68"/>
    <s v="P002"/>
  </r>
  <r>
    <n v="147"/>
    <x v="79"/>
    <d v="2024-10-15T00:00:00"/>
    <s v="South"/>
    <x v="3"/>
    <x v="8"/>
    <n v="2"/>
    <n v="3836.05"/>
    <n v="7672.1"/>
    <s v="P009"/>
  </r>
  <r>
    <n v="148"/>
    <x v="17"/>
    <d v="2024-04-27T00:00:00"/>
    <s v="South"/>
    <x v="0"/>
    <x v="0"/>
    <n v="4"/>
    <n v="2339.3000000000002"/>
    <n v="9357.2000000000007"/>
    <s v="P001"/>
  </r>
  <r>
    <n v="149"/>
    <x v="33"/>
    <d v="2024-07-02T00:00:00"/>
    <s v="East"/>
    <x v="0"/>
    <x v="13"/>
    <n v="5"/>
    <n v="2483.15"/>
    <n v="12415.75"/>
    <s v="P014"/>
  </r>
  <r>
    <n v="150"/>
    <x v="80"/>
    <d v="2024-06-21T00:00:00"/>
    <s v="South"/>
    <x v="1"/>
    <x v="4"/>
    <n v="3"/>
    <n v="3500.35"/>
    <n v="10501.05"/>
    <s v="P005"/>
  </r>
  <r>
    <n v="151"/>
    <x v="79"/>
    <d v="2024-10-08T00:00:00"/>
    <s v="East"/>
    <x v="1"/>
    <x v="11"/>
    <n v="4"/>
    <n v="989.83"/>
    <n v="3959.32"/>
    <s v="P012"/>
  </r>
  <r>
    <n v="152"/>
    <x v="3"/>
    <d v="2024-02-07T00:00:00"/>
    <s v="South"/>
    <x v="2"/>
    <x v="5"/>
    <n v="8"/>
    <n v="2578.85"/>
    <n v="20630.8"/>
    <s v="P006"/>
  </r>
  <r>
    <n v="153"/>
    <x v="57"/>
    <d v="2024-04-20T00:00:00"/>
    <s v="West"/>
    <x v="3"/>
    <x v="6"/>
    <n v="4"/>
    <n v="4601.88"/>
    <n v="18407.52"/>
    <s v="P007"/>
  </r>
  <r>
    <n v="154"/>
    <x v="65"/>
    <d v="2024-10-19T00:00:00"/>
    <s v="West"/>
    <x v="2"/>
    <x v="12"/>
    <n v="9"/>
    <n v="2178.2399999999998"/>
    <n v="19604.16"/>
    <s v="P013"/>
  </r>
  <r>
    <n v="155"/>
    <x v="54"/>
    <d v="2024-10-22T00:00:00"/>
    <s v="North"/>
    <x v="1"/>
    <x v="4"/>
    <n v="1"/>
    <n v="654.87"/>
    <n v="654.87"/>
    <s v="P005"/>
  </r>
  <r>
    <n v="156"/>
    <x v="81"/>
    <d v="2024-04-19T00:00:00"/>
    <s v="West"/>
    <x v="4"/>
    <x v="19"/>
    <n v="6"/>
    <n v="2642.31"/>
    <n v="15853.86"/>
    <s v="P020"/>
  </r>
  <r>
    <n v="157"/>
    <x v="63"/>
    <d v="2024-05-28T00:00:00"/>
    <s v="East"/>
    <x v="4"/>
    <x v="19"/>
    <n v="9"/>
    <n v="1107.3399999999999"/>
    <n v="9966.06"/>
    <s v="P020"/>
  </r>
  <r>
    <n v="158"/>
    <x v="76"/>
    <d v="2024-04-26T00:00:00"/>
    <s v="South"/>
    <x v="4"/>
    <x v="15"/>
    <n v="4"/>
    <n v="2733.24"/>
    <n v="10932.96"/>
    <s v="P016"/>
  </r>
  <r>
    <n v="159"/>
    <x v="18"/>
    <d v="2024-10-20T00:00:00"/>
    <s v="South"/>
    <x v="2"/>
    <x v="17"/>
    <n v="2"/>
    <n v="4600.43"/>
    <n v="9200.86"/>
    <s v="P018"/>
  </r>
  <r>
    <n v="160"/>
    <x v="12"/>
    <d v="2024-09-07T00:00:00"/>
    <s v="East"/>
    <x v="4"/>
    <x v="15"/>
    <n v="4"/>
    <n v="2152.73"/>
    <n v="8610.92"/>
    <s v="P016"/>
  </r>
  <r>
    <n v="161"/>
    <x v="62"/>
    <d v="2024-06-09T00:00:00"/>
    <s v="North"/>
    <x v="0"/>
    <x v="0"/>
    <n v="6"/>
    <n v="1178.48"/>
    <n v="7070.88"/>
    <s v="P001"/>
  </r>
  <r>
    <n v="162"/>
    <x v="19"/>
    <d v="2024-02-18T00:00:00"/>
    <s v="East"/>
    <x v="4"/>
    <x v="10"/>
    <n v="9"/>
    <n v="828.45"/>
    <n v="7456.05"/>
    <s v="P011"/>
  </r>
  <r>
    <n v="163"/>
    <x v="51"/>
    <d v="2024-03-03T00:00:00"/>
    <s v="North"/>
    <x v="4"/>
    <x v="15"/>
    <n v="1"/>
    <n v="1618.69"/>
    <n v="1618.69"/>
    <s v="P016"/>
  </r>
  <r>
    <n v="164"/>
    <x v="47"/>
    <d v="2024-08-02T00:00:00"/>
    <s v="East"/>
    <x v="1"/>
    <x v="1"/>
    <n v="3"/>
    <n v="1812"/>
    <n v="5436"/>
    <s v="P002"/>
  </r>
  <r>
    <n v="165"/>
    <x v="48"/>
    <d v="2024-10-11T00:00:00"/>
    <s v="North"/>
    <x v="0"/>
    <x v="3"/>
    <n v="8"/>
    <n v="2978.52"/>
    <n v="23828.16"/>
    <s v="P004"/>
  </r>
  <r>
    <n v="166"/>
    <x v="51"/>
    <d v="2024-03-18T00:00:00"/>
    <s v="East"/>
    <x v="2"/>
    <x v="5"/>
    <n v="6"/>
    <n v="2259.7399999999998"/>
    <n v="13558.44"/>
    <s v="P006"/>
  </r>
  <r>
    <n v="167"/>
    <x v="21"/>
    <d v="2024-06-14T00:00:00"/>
    <s v="East"/>
    <x v="3"/>
    <x v="9"/>
    <n v="8"/>
    <n v="4322.75"/>
    <n v="34582"/>
    <s v="P010"/>
  </r>
  <r>
    <n v="168"/>
    <x v="24"/>
    <d v="2024-10-14T00:00:00"/>
    <s v="South"/>
    <x v="2"/>
    <x v="17"/>
    <n v="2"/>
    <n v="2102.8000000000002"/>
    <n v="4205.6000000000004"/>
    <s v="P018"/>
  </r>
  <r>
    <n v="169"/>
    <x v="40"/>
    <d v="2024-02-24T00:00:00"/>
    <s v="West"/>
    <x v="2"/>
    <x v="17"/>
    <n v="8"/>
    <n v="232.77"/>
    <n v="1862.16"/>
    <s v="P018"/>
  </r>
  <r>
    <n v="170"/>
    <x v="74"/>
    <d v="2024-09-11T00:00:00"/>
    <s v="North"/>
    <x v="4"/>
    <x v="15"/>
    <n v="5"/>
    <n v="974.87"/>
    <n v="4874.3500000000004"/>
    <s v="P016"/>
  </r>
  <r>
    <n v="171"/>
    <x v="41"/>
    <d v="2024-04-01T00:00:00"/>
    <s v="East"/>
    <x v="2"/>
    <x v="17"/>
    <n v="8"/>
    <n v="3639.11"/>
    <n v="29112.880000000001"/>
    <s v="P018"/>
  </r>
  <r>
    <n v="172"/>
    <x v="53"/>
    <d v="2024-06-13T00:00:00"/>
    <s v="South"/>
    <x v="0"/>
    <x v="2"/>
    <n v="7"/>
    <n v="4492.05"/>
    <n v="31444.35"/>
    <s v="P003"/>
  </r>
  <r>
    <n v="173"/>
    <x v="39"/>
    <d v="2024-09-19T00:00:00"/>
    <s v="North"/>
    <x v="0"/>
    <x v="0"/>
    <n v="3"/>
    <n v="2956.9"/>
    <n v="8870.7000000000007"/>
    <s v="P001"/>
  </r>
  <r>
    <n v="174"/>
    <x v="6"/>
    <d v="2024-03-22T00:00:00"/>
    <s v="South"/>
    <x v="4"/>
    <x v="15"/>
    <n v="5"/>
    <n v="1774.91"/>
    <n v="8874.5499999999993"/>
    <s v="P016"/>
  </r>
  <r>
    <n v="175"/>
    <x v="51"/>
    <d v="2024-07-13T00:00:00"/>
    <s v="East"/>
    <x v="3"/>
    <x v="14"/>
    <n v="5"/>
    <n v="1791.44"/>
    <n v="8957.2000000000007"/>
    <s v="P015"/>
  </r>
  <r>
    <n v="176"/>
    <x v="1"/>
    <d v="2024-08-13T00:00:00"/>
    <s v="North"/>
    <x v="3"/>
    <x v="6"/>
    <n v="4"/>
    <n v="4875.28"/>
    <n v="19501.12"/>
    <s v="P007"/>
  </r>
  <r>
    <n v="177"/>
    <x v="69"/>
    <d v="2024-03-21T00:00:00"/>
    <s v="South"/>
    <x v="1"/>
    <x v="16"/>
    <n v="7"/>
    <n v="4019.29"/>
    <n v="28135.03"/>
    <s v="P017"/>
  </r>
  <r>
    <n v="178"/>
    <x v="75"/>
    <d v="2024-04-24T00:00:00"/>
    <s v="North"/>
    <x v="4"/>
    <x v="10"/>
    <n v="2"/>
    <n v="3204.04"/>
    <n v="6408.08"/>
    <s v="P011"/>
  </r>
  <r>
    <n v="179"/>
    <x v="65"/>
    <d v="2024-09-02T00:00:00"/>
    <s v="South"/>
    <x v="1"/>
    <x v="16"/>
    <n v="4"/>
    <n v="748.15"/>
    <n v="2992.6"/>
    <s v="P017"/>
  </r>
  <r>
    <n v="180"/>
    <x v="62"/>
    <d v="2024-04-18T00:00:00"/>
    <s v="South"/>
    <x v="0"/>
    <x v="0"/>
    <n v="6"/>
    <n v="4580.0600000000004"/>
    <n v="27480.36"/>
    <s v="P001"/>
  </r>
  <r>
    <n v="181"/>
    <x v="61"/>
    <d v="2024-02-11T00:00:00"/>
    <s v="West"/>
    <x v="4"/>
    <x v="18"/>
    <n v="2"/>
    <n v="2815.47"/>
    <n v="5630.94"/>
    <s v="P019"/>
  </r>
  <r>
    <n v="182"/>
    <x v="63"/>
    <d v="2024-03-16T00:00:00"/>
    <s v="East"/>
    <x v="0"/>
    <x v="2"/>
    <n v="6"/>
    <n v="770.74"/>
    <n v="4624.4399999999996"/>
    <s v="P003"/>
  </r>
  <r>
    <n v="183"/>
    <x v="45"/>
    <d v="2024-10-13T00:00:00"/>
    <s v="South"/>
    <x v="1"/>
    <x v="1"/>
    <n v="2"/>
    <n v="3042.53"/>
    <n v="6085.06"/>
    <s v="P002"/>
  </r>
  <r>
    <n v="184"/>
    <x v="82"/>
    <d v="2024-06-21T00:00:00"/>
    <s v="North"/>
    <x v="2"/>
    <x v="12"/>
    <n v="2"/>
    <n v="914.79"/>
    <n v="1829.58"/>
    <s v="P013"/>
  </r>
  <r>
    <n v="185"/>
    <x v="83"/>
    <d v="2024-06-29T00:00:00"/>
    <s v="West"/>
    <x v="1"/>
    <x v="16"/>
    <n v="5"/>
    <n v="4201.6899999999996"/>
    <n v="21008.45"/>
    <s v="P017"/>
  </r>
  <r>
    <n v="186"/>
    <x v="44"/>
    <d v="2024-06-12T00:00:00"/>
    <s v="North"/>
    <x v="1"/>
    <x v="4"/>
    <n v="8"/>
    <n v="2875.38"/>
    <n v="23003.040000000001"/>
    <s v="P005"/>
  </r>
  <r>
    <n v="187"/>
    <x v="43"/>
    <d v="2024-02-24T00:00:00"/>
    <s v="East"/>
    <x v="0"/>
    <x v="13"/>
    <n v="1"/>
    <n v="1422.56"/>
    <n v="1422.56"/>
    <s v="P014"/>
  </r>
  <r>
    <n v="188"/>
    <x v="73"/>
    <d v="2024-08-14T00:00:00"/>
    <s v="West"/>
    <x v="1"/>
    <x v="11"/>
    <n v="2"/>
    <n v="3154.33"/>
    <n v="6308.66"/>
    <s v="P012"/>
  </r>
  <r>
    <n v="189"/>
    <x v="84"/>
    <d v="2024-03-13T00:00:00"/>
    <s v="North"/>
    <x v="4"/>
    <x v="19"/>
    <n v="9"/>
    <n v="3554.14"/>
    <n v="31987.26"/>
    <s v="P020"/>
  </r>
  <r>
    <n v="190"/>
    <x v="22"/>
    <d v="2024-01-25T00:00:00"/>
    <s v="East"/>
    <x v="1"/>
    <x v="4"/>
    <n v="2"/>
    <n v="4017.14"/>
    <n v="8034.28"/>
    <s v="P005"/>
  </r>
  <r>
    <n v="191"/>
    <x v="85"/>
    <d v="2024-04-11T00:00:00"/>
    <s v="South"/>
    <x v="3"/>
    <x v="6"/>
    <n v="5"/>
    <n v="548.75"/>
    <n v="2743.75"/>
    <s v="P007"/>
  </r>
  <r>
    <n v="192"/>
    <x v="10"/>
    <d v="2024-01-17T00:00:00"/>
    <s v="South"/>
    <x v="4"/>
    <x v="15"/>
    <n v="1"/>
    <n v="1007.15"/>
    <n v="1007.15"/>
    <s v="P016"/>
  </r>
  <r>
    <n v="193"/>
    <x v="86"/>
    <d v="2024-03-20T00:00:00"/>
    <s v="West"/>
    <x v="1"/>
    <x v="1"/>
    <n v="5"/>
    <n v="3819.28"/>
    <n v="19096.400000000001"/>
    <s v="P002"/>
  </r>
  <r>
    <n v="194"/>
    <x v="35"/>
    <d v="2024-07-16T00:00:00"/>
    <s v="West"/>
    <x v="4"/>
    <x v="18"/>
    <n v="9"/>
    <n v="3268.66"/>
    <n v="29417.94"/>
    <s v="P019"/>
  </r>
  <r>
    <n v="195"/>
    <x v="49"/>
    <d v="2024-01-26T00:00:00"/>
    <s v="East"/>
    <x v="2"/>
    <x v="7"/>
    <n v="7"/>
    <n v="4996.83"/>
    <n v="34977.81"/>
    <s v="P008"/>
  </r>
  <r>
    <n v="196"/>
    <x v="77"/>
    <d v="2024-03-26T00:00:00"/>
    <s v="South"/>
    <x v="0"/>
    <x v="0"/>
    <n v="9"/>
    <n v="1043.74"/>
    <n v="9393.66"/>
    <s v="P001"/>
  </r>
  <r>
    <n v="197"/>
    <x v="5"/>
    <d v="2024-08-02T00:00:00"/>
    <s v="North"/>
    <x v="2"/>
    <x v="17"/>
    <n v="4"/>
    <n v="4238.29"/>
    <n v="16953.16"/>
    <s v="P018"/>
  </r>
  <r>
    <n v="198"/>
    <x v="18"/>
    <d v="2024-04-12T00:00:00"/>
    <s v="North"/>
    <x v="1"/>
    <x v="1"/>
    <n v="2"/>
    <n v="4436.49"/>
    <n v="8872.98"/>
    <s v="P002"/>
  </r>
  <r>
    <n v="199"/>
    <x v="87"/>
    <d v="2024-07-01T00:00:00"/>
    <s v="East"/>
    <x v="3"/>
    <x v="6"/>
    <n v="8"/>
    <n v="2743.51"/>
    <n v="21948.080000000002"/>
    <s v="P007"/>
  </r>
  <r>
    <n v="200"/>
    <x v="84"/>
    <d v="2024-07-28T00:00:00"/>
    <s v="North"/>
    <x v="0"/>
    <x v="2"/>
    <n v="2"/>
    <n v="219.56"/>
    <n v="439.12"/>
    <s v="P003"/>
  </r>
  <r>
    <n v="201"/>
    <x v="30"/>
    <d v="2024-02-03T00:00:00"/>
    <s v="South"/>
    <x v="1"/>
    <x v="4"/>
    <n v="2"/>
    <n v="4701.43"/>
    <n v="9402.86"/>
    <s v="P005"/>
  </r>
  <r>
    <n v="202"/>
    <x v="63"/>
    <d v="2024-02-08T00:00:00"/>
    <s v="South"/>
    <x v="3"/>
    <x v="9"/>
    <n v="1"/>
    <n v="2069.46"/>
    <n v="2069.46"/>
    <s v="P010"/>
  </r>
  <r>
    <n v="203"/>
    <x v="61"/>
    <d v="2024-09-28T00:00:00"/>
    <s v="West"/>
    <x v="3"/>
    <x v="6"/>
    <n v="9"/>
    <n v="3864.54"/>
    <n v="34780.86"/>
    <s v="P007"/>
  </r>
  <r>
    <n v="204"/>
    <x v="33"/>
    <d v="2024-03-05T00:00:00"/>
    <s v="South"/>
    <x v="4"/>
    <x v="15"/>
    <n v="8"/>
    <n v="1507.47"/>
    <n v="12059.76"/>
    <s v="P016"/>
  </r>
  <r>
    <n v="205"/>
    <x v="88"/>
    <d v="2024-05-25T00:00:00"/>
    <s v="South"/>
    <x v="0"/>
    <x v="3"/>
    <n v="1"/>
    <n v="4560.66"/>
    <n v="4560.66"/>
    <s v="P004"/>
  </r>
  <r>
    <n v="206"/>
    <x v="35"/>
    <d v="2024-03-13T00:00:00"/>
    <s v="East"/>
    <x v="4"/>
    <x v="19"/>
    <n v="8"/>
    <n v="709.74"/>
    <n v="5677.92"/>
    <s v="P020"/>
  </r>
  <r>
    <n v="207"/>
    <x v="78"/>
    <d v="2024-10-19T00:00:00"/>
    <s v="North"/>
    <x v="0"/>
    <x v="0"/>
    <n v="6"/>
    <n v="4913.42"/>
    <n v="29480.52"/>
    <s v="P001"/>
  </r>
  <r>
    <n v="208"/>
    <x v="52"/>
    <d v="2024-01-11T00:00:00"/>
    <s v="South"/>
    <x v="0"/>
    <x v="2"/>
    <n v="9"/>
    <n v="3742.43"/>
    <n v="33681.870000000003"/>
    <s v="P003"/>
  </r>
  <r>
    <n v="209"/>
    <x v="79"/>
    <d v="2024-02-28T00:00:00"/>
    <s v="West"/>
    <x v="3"/>
    <x v="9"/>
    <n v="6"/>
    <n v="3077.91"/>
    <n v="18467.46"/>
    <s v="P010"/>
  </r>
  <r>
    <n v="210"/>
    <x v="21"/>
    <d v="2024-04-16T00:00:00"/>
    <s v="South"/>
    <x v="4"/>
    <x v="18"/>
    <n v="9"/>
    <n v="1013.55"/>
    <n v="9121.9500000000007"/>
    <s v="P019"/>
  </r>
  <r>
    <n v="211"/>
    <x v="30"/>
    <d v="2024-09-18T00:00:00"/>
    <s v="North"/>
    <x v="0"/>
    <x v="2"/>
    <n v="7"/>
    <n v="4430.55"/>
    <n v="31013.85"/>
    <s v="P003"/>
  </r>
  <r>
    <n v="212"/>
    <x v="10"/>
    <d v="2024-01-20T00:00:00"/>
    <s v="South"/>
    <x v="4"/>
    <x v="19"/>
    <n v="3"/>
    <n v="3815.37"/>
    <n v="11446.11"/>
    <s v="P020"/>
  </r>
  <r>
    <n v="213"/>
    <x v="3"/>
    <d v="2024-05-24T00:00:00"/>
    <s v="West"/>
    <x v="1"/>
    <x v="1"/>
    <n v="3"/>
    <n v="1199.76"/>
    <n v="3599.28"/>
    <s v="P002"/>
  </r>
  <r>
    <n v="214"/>
    <x v="50"/>
    <d v="2024-03-08T00:00:00"/>
    <s v="South"/>
    <x v="0"/>
    <x v="2"/>
    <n v="9"/>
    <n v="2016.73"/>
    <n v="18150.57"/>
    <s v="P003"/>
  </r>
  <r>
    <n v="215"/>
    <x v="58"/>
    <d v="2024-01-29T00:00:00"/>
    <s v="North"/>
    <x v="1"/>
    <x v="11"/>
    <n v="2"/>
    <n v="4324.43"/>
    <n v="8648.86"/>
    <s v="P012"/>
  </r>
  <r>
    <n v="216"/>
    <x v="88"/>
    <d v="2024-02-09T00:00:00"/>
    <s v="North"/>
    <x v="0"/>
    <x v="0"/>
    <n v="2"/>
    <n v="2101.42"/>
    <n v="4202.84"/>
    <s v="P001"/>
  </r>
  <r>
    <n v="217"/>
    <x v="39"/>
    <d v="2024-02-07T00:00:00"/>
    <s v="West"/>
    <x v="1"/>
    <x v="11"/>
    <n v="2"/>
    <n v="497.13"/>
    <n v="994.26"/>
    <s v="P012"/>
  </r>
  <r>
    <n v="218"/>
    <x v="11"/>
    <d v="2024-06-24T00:00:00"/>
    <s v="North"/>
    <x v="3"/>
    <x v="9"/>
    <n v="1"/>
    <n v="401.43"/>
    <n v="401.43"/>
    <s v="P010"/>
  </r>
  <r>
    <n v="219"/>
    <x v="44"/>
    <d v="2024-08-11T00:00:00"/>
    <s v="South"/>
    <x v="0"/>
    <x v="0"/>
    <n v="3"/>
    <n v="1804.27"/>
    <n v="5412.81"/>
    <s v="P001"/>
  </r>
  <r>
    <n v="220"/>
    <x v="27"/>
    <d v="2024-02-09T00:00:00"/>
    <s v="East"/>
    <x v="0"/>
    <x v="3"/>
    <n v="1"/>
    <n v="4405.29"/>
    <n v="4405.29"/>
    <s v="P004"/>
  </r>
  <r>
    <n v="221"/>
    <x v="11"/>
    <d v="2024-06-16T00:00:00"/>
    <s v="West"/>
    <x v="4"/>
    <x v="15"/>
    <n v="9"/>
    <n v="1736.64"/>
    <n v="15629.76"/>
    <s v="P016"/>
  </r>
  <r>
    <n v="222"/>
    <x v="57"/>
    <d v="2024-06-29T00:00:00"/>
    <s v="South"/>
    <x v="3"/>
    <x v="6"/>
    <n v="6"/>
    <n v="1027.19"/>
    <n v="6163.14"/>
    <s v="P007"/>
  </r>
  <r>
    <n v="223"/>
    <x v="84"/>
    <d v="2024-08-22T00:00:00"/>
    <s v="North"/>
    <x v="2"/>
    <x v="12"/>
    <n v="3"/>
    <n v="4407.45"/>
    <n v="13222.35"/>
    <s v="P013"/>
  </r>
  <r>
    <n v="224"/>
    <x v="71"/>
    <d v="2024-06-08T00:00:00"/>
    <s v="East"/>
    <x v="0"/>
    <x v="2"/>
    <n v="7"/>
    <n v="887.72"/>
    <n v="6214.04"/>
    <s v="P003"/>
  </r>
  <r>
    <n v="225"/>
    <x v="59"/>
    <d v="2024-09-14T00:00:00"/>
    <s v="South"/>
    <x v="0"/>
    <x v="3"/>
    <n v="7"/>
    <n v="1046.3499999999999"/>
    <n v="7324.45"/>
    <s v="P004"/>
  </r>
  <r>
    <n v="226"/>
    <x v="44"/>
    <d v="2024-02-15T00:00:00"/>
    <s v="East"/>
    <x v="4"/>
    <x v="19"/>
    <n v="1"/>
    <n v="667.63"/>
    <n v="667.63"/>
    <s v="P020"/>
  </r>
  <r>
    <n v="227"/>
    <x v="60"/>
    <d v="2024-07-06T00:00:00"/>
    <s v="West"/>
    <x v="0"/>
    <x v="0"/>
    <n v="6"/>
    <n v="1488.38"/>
    <n v="8930.2800000000007"/>
    <s v="P001"/>
  </r>
  <r>
    <n v="228"/>
    <x v="33"/>
    <d v="2024-03-14T00:00:00"/>
    <s v="North"/>
    <x v="2"/>
    <x v="17"/>
    <n v="5"/>
    <n v="602.29999999999995"/>
    <n v="3011.5"/>
    <s v="P018"/>
  </r>
  <r>
    <n v="229"/>
    <x v="70"/>
    <d v="2024-08-29T00:00:00"/>
    <s v="West"/>
    <x v="1"/>
    <x v="1"/>
    <n v="1"/>
    <n v="3877.82"/>
    <n v="3877.82"/>
    <s v="P002"/>
  </r>
  <r>
    <n v="230"/>
    <x v="4"/>
    <d v="2024-07-11T00:00:00"/>
    <s v="South"/>
    <x v="2"/>
    <x v="7"/>
    <n v="2"/>
    <n v="4370.53"/>
    <n v="8741.06"/>
    <s v="P008"/>
  </r>
  <r>
    <n v="231"/>
    <x v="89"/>
    <d v="2024-06-23T00:00:00"/>
    <s v="North"/>
    <x v="3"/>
    <x v="14"/>
    <n v="3"/>
    <n v="3012.54"/>
    <n v="9037.6200000000008"/>
    <s v="P015"/>
  </r>
  <r>
    <n v="232"/>
    <x v="67"/>
    <d v="2024-01-07T00:00:00"/>
    <s v="North"/>
    <x v="1"/>
    <x v="11"/>
    <n v="6"/>
    <n v="1921.98"/>
    <n v="11531.88"/>
    <s v="P012"/>
  </r>
  <r>
    <n v="233"/>
    <x v="69"/>
    <d v="2024-02-27T00:00:00"/>
    <s v="East"/>
    <x v="2"/>
    <x v="5"/>
    <n v="2"/>
    <n v="4985.91"/>
    <n v="9971.82"/>
    <s v="P006"/>
  </r>
  <r>
    <n v="234"/>
    <x v="76"/>
    <d v="2024-04-08T00:00:00"/>
    <s v="North"/>
    <x v="4"/>
    <x v="15"/>
    <n v="7"/>
    <n v="4147.01"/>
    <n v="29029.07"/>
    <s v="P016"/>
  </r>
  <r>
    <n v="235"/>
    <x v="23"/>
    <d v="2024-10-14T00:00:00"/>
    <s v="South"/>
    <x v="3"/>
    <x v="8"/>
    <n v="3"/>
    <n v="4759.2299999999996"/>
    <n v="14277.69"/>
    <s v="P009"/>
  </r>
  <r>
    <n v="236"/>
    <x v="8"/>
    <d v="2024-04-01T00:00:00"/>
    <s v="North"/>
    <x v="0"/>
    <x v="0"/>
    <n v="5"/>
    <n v="3228.78"/>
    <n v="16143.9"/>
    <s v="P001"/>
  </r>
  <r>
    <n v="237"/>
    <x v="2"/>
    <d v="2024-05-26T00:00:00"/>
    <s v="North"/>
    <x v="0"/>
    <x v="0"/>
    <n v="1"/>
    <n v="1671.64"/>
    <n v="1671.64"/>
    <s v="P001"/>
  </r>
  <r>
    <n v="238"/>
    <x v="14"/>
    <d v="2024-01-15T00:00:00"/>
    <s v="South"/>
    <x v="0"/>
    <x v="0"/>
    <n v="1"/>
    <n v="3293.17"/>
    <n v="3293.17"/>
    <s v="P001"/>
  </r>
  <r>
    <n v="239"/>
    <x v="3"/>
    <d v="2024-09-30T00:00:00"/>
    <s v="East"/>
    <x v="3"/>
    <x v="14"/>
    <n v="8"/>
    <n v="880.3"/>
    <n v="7042.4"/>
    <s v="P015"/>
  </r>
  <r>
    <n v="240"/>
    <x v="21"/>
    <d v="2024-05-24T00:00:00"/>
    <s v="North"/>
    <x v="0"/>
    <x v="13"/>
    <n v="2"/>
    <n v="3829.02"/>
    <n v="7658.04"/>
    <s v="P014"/>
  </r>
  <r>
    <n v="241"/>
    <x v="90"/>
    <d v="2024-06-29T00:00:00"/>
    <s v="West"/>
    <x v="3"/>
    <x v="8"/>
    <n v="3"/>
    <n v="1008.75"/>
    <n v="3026.25"/>
    <s v="P009"/>
  </r>
  <r>
    <n v="242"/>
    <x v="2"/>
    <d v="2024-06-01T00:00:00"/>
    <s v="South"/>
    <x v="4"/>
    <x v="18"/>
    <n v="4"/>
    <n v="2208.5"/>
    <n v="8834"/>
    <s v="P019"/>
  </r>
  <r>
    <n v="243"/>
    <x v="83"/>
    <d v="2024-08-01T00:00:00"/>
    <s v="South"/>
    <x v="0"/>
    <x v="3"/>
    <n v="2"/>
    <n v="4008.04"/>
    <n v="8016.08"/>
    <s v="P004"/>
  </r>
  <r>
    <n v="244"/>
    <x v="4"/>
    <d v="2024-03-04T00:00:00"/>
    <s v="North"/>
    <x v="4"/>
    <x v="10"/>
    <n v="5"/>
    <n v="454.99"/>
    <n v="2274.9499999999998"/>
    <s v="P011"/>
  </r>
  <r>
    <n v="245"/>
    <x v="91"/>
    <d v="2024-04-04T00:00:00"/>
    <s v="South"/>
    <x v="1"/>
    <x v="11"/>
    <n v="9"/>
    <n v="4314.6000000000004"/>
    <n v="38831.4"/>
    <s v="P012"/>
  </r>
  <r>
    <n v="246"/>
    <x v="41"/>
    <d v="2024-09-23T00:00:00"/>
    <s v="South"/>
    <x v="1"/>
    <x v="1"/>
    <n v="9"/>
    <n v="1286.02"/>
    <n v="11574.18"/>
    <s v="P002"/>
  </r>
  <r>
    <n v="247"/>
    <x v="67"/>
    <d v="2024-06-08T00:00:00"/>
    <s v="East"/>
    <x v="3"/>
    <x v="14"/>
    <n v="1"/>
    <n v="2842.28"/>
    <n v="2842.28"/>
    <s v="P015"/>
  </r>
  <r>
    <n v="248"/>
    <x v="92"/>
    <d v="2024-08-29T00:00:00"/>
    <s v="West"/>
    <x v="4"/>
    <x v="18"/>
    <n v="1"/>
    <n v="530.54999999999995"/>
    <n v="530.54999999999995"/>
    <s v="P019"/>
  </r>
  <r>
    <n v="249"/>
    <x v="25"/>
    <d v="2024-03-17T00:00:00"/>
    <s v="West"/>
    <x v="2"/>
    <x v="5"/>
    <n v="7"/>
    <n v="750.31"/>
    <n v="5252.17"/>
    <s v="P006"/>
  </r>
  <r>
    <n v="250"/>
    <x v="22"/>
    <d v="2024-06-22T00:00:00"/>
    <s v="South"/>
    <x v="2"/>
    <x v="17"/>
    <n v="2"/>
    <n v="301.8"/>
    <n v="603.6"/>
    <s v="P018"/>
  </r>
  <r>
    <n v="251"/>
    <x v="67"/>
    <d v="2024-05-02T00:00:00"/>
    <s v="South"/>
    <x v="4"/>
    <x v="18"/>
    <n v="9"/>
    <n v="354.66"/>
    <n v="3191.94"/>
    <s v="P019"/>
  </r>
  <r>
    <n v="252"/>
    <x v="10"/>
    <d v="2024-02-10T00:00:00"/>
    <s v="South"/>
    <x v="3"/>
    <x v="14"/>
    <n v="8"/>
    <n v="3599.03"/>
    <n v="28792.240000000002"/>
    <s v="P015"/>
  </r>
  <r>
    <n v="253"/>
    <x v="86"/>
    <d v="2024-03-24T00:00:00"/>
    <s v="South"/>
    <x v="1"/>
    <x v="4"/>
    <n v="7"/>
    <n v="3338.02"/>
    <n v="23366.14"/>
    <s v="P005"/>
  </r>
  <r>
    <n v="254"/>
    <x v="16"/>
    <d v="2024-01-22T00:00:00"/>
    <s v="South"/>
    <x v="1"/>
    <x v="4"/>
    <n v="9"/>
    <n v="903.6"/>
    <n v="8132.4"/>
    <s v="P005"/>
  </r>
  <r>
    <n v="255"/>
    <x v="27"/>
    <d v="2024-01-12T00:00:00"/>
    <s v="East"/>
    <x v="3"/>
    <x v="9"/>
    <n v="9"/>
    <n v="4371.74"/>
    <n v="39345.660000000003"/>
    <s v="P010"/>
  </r>
  <r>
    <n v="256"/>
    <x v="45"/>
    <d v="2024-02-24T00:00:00"/>
    <s v="South"/>
    <x v="3"/>
    <x v="9"/>
    <n v="8"/>
    <n v="4371.9799999999996"/>
    <n v="34975.839999999997"/>
    <s v="P010"/>
  </r>
  <r>
    <n v="257"/>
    <x v="0"/>
    <d v="2024-07-01T00:00:00"/>
    <s v="West"/>
    <x v="1"/>
    <x v="1"/>
    <n v="2"/>
    <n v="202.22"/>
    <n v="404.44"/>
    <s v="P002"/>
  </r>
  <r>
    <n v="258"/>
    <x v="15"/>
    <d v="2024-05-29T00:00:00"/>
    <s v="North"/>
    <x v="4"/>
    <x v="15"/>
    <n v="3"/>
    <n v="499.48"/>
    <n v="1498.44"/>
    <s v="P016"/>
  </r>
  <r>
    <n v="259"/>
    <x v="29"/>
    <d v="2024-04-02T00:00:00"/>
    <s v="South"/>
    <x v="4"/>
    <x v="15"/>
    <n v="1"/>
    <n v="4354.54"/>
    <n v="4354.54"/>
    <s v="P016"/>
  </r>
  <r>
    <n v="260"/>
    <x v="42"/>
    <d v="2024-01-24T00:00:00"/>
    <s v="West"/>
    <x v="0"/>
    <x v="13"/>
    <n v="4"/>
    <n v="2573.7399999999998"/>
    <n v="10294.959999999999"/>
    <s v="P014"/>
  </r>
  <r>
    <n v="261"/>
    <x v="71"/>
    <d v="2024-06-25T00:00:00"/>
    <s v="East"/>
    <x v="4"/>
    <x v="10"/>
    <n v="5"/>
    <n v="2038.02"/>
    <n v="10190.1"/>
    <s v="P011"/>
  </r>
  <r>
    <n v="262"/>
    <x v="64"/>
    <d v="2024-03-06T00:00:00"/>
    <s v="East"/>
    <x v="2"/>
    <x v="7"/>
    <n v="6"/>
    <n v="3309.55"/>
    <n v="19857.3"/>
    <s v="P008"/>
  </r>
  <r>
    <n v="263"/>
    <x v="90"/>
    <d v="2024-09-02T00:00:00"/>
    <s v="North"/>
    <x v="3"/>
    <x v="6"/>
    <n v="2"/>
    <n v="3194.65"/>
    <n v="6389.3"/>
    <s v="P007"/>
  </r>
  <r>
    <n v="264"/>
    <x v="24"/>
    <d v="2024-08-12T00:00:00"/>
    <s v="East"/>
    <x v="2"/>
    <x v="7"/>
    <n v="4"/>
    <n v="4554.26"/>
    <n v="18217.04"/>
    <s v="P008"/>
  </r>
  <r>
    <n v="265"/>
    <x v="91"/>
    <d v="2024-10-24T00:00:00"/>
    <s v="West"/>
    <x v="2"/>
    <x v="17"/>
    <n v="5"/>
    <n v="4286.49"/>
    <n v="21432.45"/>
    <s v="P018"/>
  </r>
  <r>
    <n v="266"/>
    <x v="70"/>
    <d v="2024-04-20T00:00:00"/>
    <s v="South"/>
    <x v="4"/>
    <x v="10"/>
    <n v="2"/>
    <n v="566.78"/>
    <n v="1133.56"/>
    <s v="P011"/>
  </r>
  <r>
    <n v="267"/>
    <x v="81"/>
    <d v="2024-01-28T00:00:00"/>
    <s v="South"/>
    <x v="1"/>
    <x v="11"/>
    <n v="5"/>
    <n v="1693.43"/>
    <n v="8467.15"/>
    <s v="P012"/>
  </r>
  <r>
    <n v="268"/>
    <x v="86"/>
    <d v="2024-06-12T00:00:00"/>
    <s v="North"/>
    <x v="1"/>
    <x v="16"/>
    <n v="3"/>
    <n v="2265.92"/>
    <n v="6797.76"/>
    <s v="P017"/>
  </r>
  <r>
    <n v="269"/>
    <x v="43"/>
    <d v="2024-04-02T00:00:00"/>
    <s v="South"/>
    <x v="3"/>
    <x v="8"/>
    <n v="9"/>
    <n v="2211.35"/>
    <n v="19902.150000000001"/>
    <s v="P009"/>
  </r>
  <r>
    <n v="270"/>
    <x v="31"/>
    <d v="2024-09-20T00:00:00"/>
    <s v="East"/>
    <x v="3"/>
    <x v="9"/>
    <n v="9"/>
    <n v="918.51"/>
    <n v="8266.59"/>
    <s v="P010"/>
  </r>
  <r>
    <n v="271"/>
    <x v="85"/>
    <d v="2024-10-10T00:00:00"/>
    <s v="North"/>
    <x v="1"/>
    <x v="11"/>
    <n v="5"/>
    <n v="2714.21"/>
    <n v="13571.05"/>
    <s v="P012"/>
  </r>
  <r>
    <n v="272"/>
    <x v="37"/>
    <d v="2024-04-29T00:00:00"/>
    <s v="West"/>
    <x v="3"/>
    <x v="6"/>
    <n v="6"/>
    <n v="1108.6199999999999"/>
    <n v="6651.72"/>
    <s v="P007"/>
  </r>
  <r>
    <n v="273"/>
    <x v="72"/>
    <d v="2024-05-09T00:00:00"/>
    <s v="North"/>
    <x v="0"/>
    <x v="13"/>
    <n v="1"/>
    <n v="698.34"/>
    <n v="698.34"/>
    <s v="P014"/>
  </r>
  <r>
    <n v="274"/>
    <x v="14"/>
    <d v="2024-09-01T00:00:00"/>
    <s v="East"/>
    <x v="0"/>
    <x v="3"/>
    <n v="1"/>
    <n v="2964.89"/>
    <n v="2964.89"/>
    <s v="P004"/>
  </r>
  <r>
    <n v="275"/>
    <x v="65"/>
    <d v="2024-10-02T00:00:00"/>
    <s v="North"/>
    <x v="2"/>
    <x v="7"/>
    <n v="2"/>
    <n v="1683.34"/>
    <n v="3366.68"/>
    <s v="P008"/>
  </r>
  <r>
    <n v="276"/>
    <x v="31"/>
    <d v="2024-07-03T00:00:00"/>
    <s v="East"/>
    <x v="1"/>
    <x v="16"/>
    <n v="7"/>
    <n v="3367.63"/>
    <n v="23573.41"/>
    <s v="P017"/>
  </r>
  <r>
    <n v="277"/>
    <x v="34"/>
    <d v="2024-05-30T00:00:00"/>
    <s v="West"/>
    <x v="0"/>
    <x v="13"/>
    <n v="2"/>
    <n v="1089.08"/>
    <n v="2178.16"/>
    <s v="P014"/>
  </r>
  <r>
    <n v="278"/>
    <x v="19"/>
    <d v="2024-05-08T00:00:00"/>
    <s v="East"/>
    <x v="0"/>
    <x v="13"/>
    <n v="6"/>
    <n v="4353.8999999999996"/>
    <n v="26123.4"/>
    <s v="P014"/>
  </r>
  <r>
    <n v="279"/>
    <x v="79"/>
    <d v="2024-06-23T00:00:00"/>
    <s v="South"/>
    <x v="4"/>
    <x v="15"/>
    <n v="7"/>
    <n v="4728.6099999999997"/>
    <n v="33100.269999999997"/>
    <s v="P016"/>
  </r>
  <r>
    <n v="280"/>
    <x v="89"/>
    <d v="2024-04-23T00:00:00"/>
    <s v="South"/>
    <x v="4"/>
    <x v="18"/>
    <n v="8"/>
    <n v="4336.58"/>
    <n v="34692.639999999999"/>
    <s v="P019"/>
  </r>
  <r>
    <n v="281"/>
    <x v="25"/>
    <d v="2024-10-15T00:00:00"/>
    <s v="North"/>
    <x v="1"/>
    <x v="4"/>
    <n v="5"/>
    <n v="3368.16"/>
    <n v="16840.8"/>
    <s v="P005"/>
  </r>
  <r>
    <n v="282"/>
    <x v="13"/>
    <d v="2024-08-07T00:00:00"/>
    <s v="South"/>
    <x v="2"/>
    <x v="7"/>
    <n v="6"/>
    <n v="1658.75"/>
    <n v="9952.5"/>
    <s v="P008"/>
  </r>
  <r>
    <n v="283"/>
    <x v="76"/>
    <d v="2024-06-17T00:00:00"/>
    <s v="North"/>
    <x v="0"/>
    <x v="3"/>
    <n v="5"/>
    <n v="2878.38"/>
    <n v="14391.9"/>
    <s v="P004"/>
  </r>
  <r>
    <n v="284"/>
    <x v="32"/>
    <d v="2024-04-07T00:00:00"/>
    <s v="North"/>
    <x v="3"/>
    <x v="8"/>
    <n v="3"/>
    <n v="4058.45"/>
    <n v="12175.35"/>
    <s v="P009"/>
  </r>
  <r>
    <n v="285"/>
    <x v="93"/>
    <d v="2024-10-05T00:00:00"/>
    <s v="East"/>
    <x v="0"/>
    <x v="0"/>
    <n v="1"/>
    <n v="689.02"/>
    <n v="689.02"/>
    <s v="P001"/>
  </r>
  <r>
    <n v="286"/>
    <x v="27"/>
    <d v="2024-03-29T00:00:00"/>
    <s v="North"/>
    <x v="4"/>
    <x v="10"/>
    <n v="7"/>
    <n v="2860.85"/>
    <n v="20025.95"/>
    <s v="P011"/>
  </r>
  <r>
    <n v="287"/>
    <x v="25"/>
    <d v="2024-04-02T00:00:00"/>
    <s v="North"/>
    <x v="4"/>
    <x v="19"/>
    <n v="1"/>
    <n v="2277.66"/>
    <n v="2277.66"/>
    <s v="P020"/>
  </r>
  <r>
    <n v="288"/>
    <x v="49"/>
    <d v="2024-09-23T00:00:00"/>
    <s v="East"/>
    <x v="2"/>
    <x v="5"/>
    <n v="9"/>
    <n v="1960.95"/>
    <n v="17648.55"/>
    <s v="P006"/>
  </r>
  <r>
    <n v="289"/>
    <x v="38"/>
    <d v="2024-04-26T00:00:00"/>
    <s v="North"/>
    <x v="2"/>
    <x v="12"/>
    <n v="5"/>
    <n v="2054.23"/>
    <n v="10271.15"/>
    <s v="P013"/>
  </r>
  <r>
    <n v="290"/>
    <x v="18"/>
    <d v="2024-10-26T00:00:00"/>
    <s v="West"/>
    <x v="1"/>
    <x v="1"/>
    <n v="7"/>
    <n v="4083.63"/>
    <n v="28585.41"/>
    <s v="P002"/>
  </r>
  <r>
    <n v="291"/>
    <x v="61"/>
    <d v="2024-01-21T00:00:00"/>
    <s v="East"/>
    <x v="1"/>
    <x v="4"/>
    <n v="5"/>
    <n v="4500.3500000000004"/>
    <n v="22501.75"/>
    <s v="P005"/>
  </r>
  <r>
    <n v="292"/>
    <x v="19"/>
    <d v="2024-10-18T00:00:00"/>
    <s v="East"/>
    <x v="1"/>
    <x v="4"/>
    <n v="4"/>
    <n v="4678.74"/>
    <n v="18714.96"/>
    <s v="P005"/>
  </r>
  <r>
    <n v="293"/>
    <x v="36"/>
    <d v="2024-10-01T00:00:00"/>
    <s v="South"/>
    <x v="0"/>
    <x v="13"/>
    <n v="5"/>
    <n v="1495.88"/>
    <n v="7479.4"/>
    <s v="P014"/>
  </r>
  <r>
    <n v="294"/>
    <x v="80"/>
    <d v="2024-06-05T00:00:00"/>
    <s v="East"/>
    <x v="3"/>
    <x v="6"/>
    <n v="8"/>
    <n v="1625.41"/>
    <n v="13003.28"/>
    <s v="P007"/>
  </r>
  <r>
    <n v="295"/>
    <x v="51"/>
    <d v="2024-06-06T00:00:00"/>
    <s v="South"/>
    <x v="2"/>
    <x v="12"/>
    <n v="4"/>
    <n v="4133.55"/>
    <n v="16534.2"/>
    <s v="P013"/>
  </r>
  <r>
    <n v="296"/>
    <x v="60"/>
    <d v="2024-09-19T00:00:00"/>
    <s v="East"/>
    <x v="3"/>
    <x v="8"/>
    <n v="7"/>
    <n v="2673.3"/>
    <n v="18713.099999999999"/>
    <s v="P009"/>
  </r>
  <r>
    <n v="297"/>
    <x v="33"/>
    <d v="2024-08-28T00:00:00"/>
    <s v="South"/>
    <x v="0"/>
    <x v="2"/>
    <n v="8"/>
    <n v="4818.34"/>
    <n v="38546.720000000001"/>
    <s v="P003"/>
  </r>
  <r>
    <n v="298"/>
    <x v="68"/>
    <d v="2024-09-19T00:00:00"/>
    <s v="South"/>
    <x v="4"/>
    <x v="10"/>
    <n v="8"/>
    <n v="2679.85"/>
    <n v="21438.799999999999"/>
    <s v="P011"/>
  </r>
  <r>
    <n v="299"/>
    <x v="90"/>
    <d v="2024-05-20T00:00:00"/>
    <s v="East"/>
    <x v="0"/>
    <x v="2"/>
    <n v="9"/>
    <n v="3989.34"/>
    <n v="35904.06"/>
    <s v="P003"/>
  </r>
  <r>
    <n v="300"/>
    <x v="85"/>
    <d v="2024-01-10T00:00:00"/>
    <s v="West"/>
    <x v="2"/>
    <x v="12"/>
    <n v="8"/>
    <n v="3872.73"/>
    <n v="30981.84"/>
    <s v="P013"/>
  </r>
  <r>
    <n v="301"/>
    <x v="71"/>
    <d v="2024-06-02T00:00:00"/>
    <s v="East"/>
    <x v="0"/>
    <x v="13"/>
    <n v="2"/>
    <n v="3686.59"/>
    <n v="7373.18"/>
    <s v="P014"/>
  </r>
  <r>
    <n v="302"/>
    <x v="79"/>
    <d v="2024-02-29T00:00:00"/>
    <s v="East"/>
    <x v="2"/>
    <x v="12"/>
    <n v="2"/>
    <n v="3856.62"/>
    <n v="7713.24"/>
    <s v="P013"/>
  </r>
  <r>
    <n v="303"/>
    <x v="54"/>
    <d v="2024-08-29T00:00:00"/>
    <s v="North"/>
    <x v="4"/>
    <x v="15"/>
    <n v="2"/>
    <n v="2417.17"/>
    <n v="4834.34"/>
    <s v="P016"/>
  </r>
  <r>
    <n v="304"/>
    <x v="67"/>
    <d v="2024-05-29T00:00:00"/>
    <s v="West"/>
    <x v="0"/>
    <x v="0"/>
    <n v="3"/>
    <n v="3074.76"/>
    <n v="9224.2800000000007"/>
    <s v="P001"/>
  </r>
  <r>
    <n v="305"/>
    <x v="6"/>
    <d v="2024-01-11T00:00:00"/>
    <s v="South"/>
    <x v="4"/>
    <x v="18"/>
    <n v="9"/>
    <n v="2534.16"/>
    <n v="22807.439999999999"/>
    <s v="P019"/>
  </r>
  <r>
    <n v="306"/>
    <x v="28"/>
    <d v="2024-10-17T00:00:00"/>
    <s v="East"/>
    <x v="0"/>
    <x v="2"/>
    <n v="3"/>
    <n v="2269.31"/>
    <n v="6807.93"/>
    <s v="P003"/>
  </r>
  <r>
    <n v="307"/>
    <x v="84"/>
    <d v="2024-08-28T00:00:00"/>
    <s v="East"/>
    <x v="3"/>
    <x v="8"/>
    <n v="3"/>
    <n v="3055.78"/>
    <n v="9167.34"/>
    <s v="P009"/>
  </r>
  <r>
    <n v="308"/>
    <x v="74"/>
    <d v="2024-10-14T00:00:00"/>
    <s v="East"/>
    <x v="0"/>
    <x v="2"/>
    <n v="4"/>
    <n v="519.73"/>
    <n v="2078.92"/>
    <s v="P003"/>
  </r>
  <r>
    <n v="309"/>
    <x v="91"/>
    <d v="2024-06-12T00:00:00"/>
    <s v="East"/>
    <x v="4"/>
    <x v="10"/>
    <n v="1"/>
    <n v="1210.6199999999999"/>
    <n v="1210.6199999999999"/>
    <s v="P011"/>
  </r>
  <r>
    <n v="310"/>
    <x v="22"/>
    <d v="2024-07-14T00:00:00"/>
    <s v="North"/>
    <x v="4"/>
    <x v="10"/>
    <n v="2"/>
    <n v="3381.05"/>
    <n v="6762.1"/>
    <s v="P011"/>
  </r>
  <r>
    <n v="311"/>
    <x v="40"/>
    <d v="2024-01-27T00:00:00"/>
    <s v="West"/>
    <x v="0"/>
    <x v="13"/>
    <n v="6"/>
    <n v="3004.78"/>
    <n v="18028.68"/>
    <s v="P014"/>
  </r>
  <r>
    <n v="312"/>
    <x v="24"/>
    <d v="2024-10-26T00:00:00"/>
    <s v="North"/>
    <x v="2"/>
    <x v="17"/>
    <n v="6"/>
    <n v="3380.49"/>
    <n v="20282.939999999999"/>
    <s v="P018"/>
  </r>
  <r>
    <n v="313"/>
    <x v="34"/>
    <d v="2024-06-20T00:00:00"/>
    <s v="South"/>
    <x v="4"/>
    <x v="15"/>
    <n v="2"/>
    <n v="2287.13"/>
    <n v="4574.26"/>
    <s v="P016"/>
  </r>
  <r>
    <n v="314"/>
    <x v="29"/>
    <d v="2024-05-29T00:00:00"/>
    <s v="West"/>
    <x v="2"/>
    <x v="7"/>
    <n v="5"/>
    <n v="958.98"/>
    <n v="4794.8999999999996"/>
    <s v="P008"/>
  </r>
  <r>
    <n v="315"/>
    <x v="34"/>
    <d v="2024-07-26T00:00:00"/>
    <s v="South"/>
    <x v="4"/>
    <x v="15"/>
    <n v="1"/>
    <n v="1574.18"/>
    <n v="1574.18"/>
    <s v="P016"/>
  </r>
  <r>
    <n v="316"/>
    <x v="57"/>
    <d v="2024-01-03T00:00:00"/>
    <s v="West"/>
    <x v="0"/>
    <x v="0"/>
    <n v="3"/>
    <n v="846.84"/>
    <n v="2540.52"/>
    <s v="P001"/>
  </r>
  <r>
    <n v="317"/>
    <x v="94"/>
    <d v="2024-09-04T00:00:00"/>
    <s v="West"/>
    <x v="4"/>
    <x v="19"/>
    <n v="5"/>
    <n v="555.35"/>
    <n v="2776.75"/>
    <s v="P020"/>
  </r>
  <r>
    <n v="318"/>
    <x v="16"/>
    <d v="2024-08-18T00:00:00"/>
    <s v="West"/>
    <x v="4"/>
    <x v="19"/>
    <n v="6"/>
    <n v="880.59"/>
    <n v="5283.54"/>
    <s v="P020"/>
  </r>
  <r>
    <n v="319"/>
    <x v="6"/>
    <d v="2024-10-18T00:00:00"/>
    <s v="North"/>
    <x v="2"/>
    <x v="12"/>
    <n v="2"/>
    <n v="1966.46"/>
    <n v="3932.92"/>
    <s v="P013"/>
  </r>
  <r>
    <n v="320"/>
    <x v="55"/>
    <d v="2024-09-05T00:00:00"/>
    <s v="North"/>
    <x v="4"/>
    <x v="15"/>
    <n v="3"/>
    <n v="2045.21"/>
    <n v="6135.63"/>
    <s v="P016"/>
  </r>
  <r>
    <n v="321"/>
    <x v="18"/>
    <d v="2024-06-02T00:00:00"/>
    <s v="West"/>
    <x v="2"/>
    <x v="17"/>
    <n v="6"/>
    <n v="4605.0200000000004"/>
    <n v="27630.12"/>
    <s v="P018"/>
  </r>
  <r>
    <n v="322"/>
    <x v="85"/>
    <d v="2024-05-22T00:00:00"/>
    <s v="South"/>
    <x v="3"/>
    <x v="9"/>
    <n v="4"/>
    <n v="1121.7"/>
    <n v="4486.8"/>
    <s v="P010"/>
  </r>
  <r>
    <n v="323"/>
    <x v="47"/>
    <d v="2024-02-11T00:00:00"/>
    <s v="South"/>
    <x v="2"/>
    <x v="12"/>
    <n v="3"/>
    <n v="3404.09"/>
    <n v="10212.27"/>
    <s v="P013"/>
  </r>
  <r>
    <n v="324"/>
    <x v="15"/>
    <d v="2024-05-13T00:00:00"/>
    <s v="East"/>
    <x v="3"/>
    <x v="8"/>
    <n v="9"/>
    <n v="1680.39"/>
    <n v="15123.51"/>
    <s v="P009"/>
  </r>
  <r>
    <n v="325"/>
    <x v="32"/>
    <d v="2024-03-06T00:00:00"/>
    <s v="East"/>
    <x v="2"/>
    <x v="17"/>
    <n v="2"/>
    <n v="4790.88"/>
    <n v="9581.76"/>
    <s v="P018"/>
  </r>
  <r>
    <n v="326"/>
    <x v="13"/>
    <d v="2024-09-12T00:00:00"/>
    <s v="South"/>
    <x v="4"/>
    <x v="18"/>
    <n v="9"/>
    <n v="2448.84"/>
    <n v="22039.56"/>
    <s v="P019"/>
  </r>
  <r>
    <n v="327"/>
    <x v="17"/>
    <d v="2024-06-12T00:00:00"/>
    <s v="East"/>
    <x v="4"/>
    <x v="18"/>
    <n v="6"/>
    <n v="4163.7299999999996"/>
    <n v="24982.38"/>
    <s v="P019"/>
  </r>
  <r>
    <n v="328"/>
    <x v="33"/>
    <d v="2024-01-25T00:00:00"/>
    <s v="North"/>
    <x v="0"/>
    <x v="2"/>
    <n v="8"/>
    <n v="2443.35"/>
    <n v="19546.8"/>
    <s v="P003"/>
  </r>
  <r>
    <n v="329"/>
    <x v="39"/>
    <d v="2024-01-25T00:00:00"/>
    <s v="East"/>
    <x v="3"/>
    <x v="9"/>
    <n v="4"/>
    <n v="2253.61"/>
    <n v="9014.44"/>
    <s v="P010"/>
  </r>
  <r>
    <n v="330"/>
    <x v="0"/>
    <d v="2024-06-08T00:00:00"/>
    <s v="North"/>
    <x v="1"/>
    <x v="16"/>
    <n v="2"/>
    <n v="3285.99"/>
    <n v="6571.98"/>
    <s v="P017"/>
  </r>
  <r>
    <n v="331"/>
    <x v="6"/>
    <d v="2024-10-13T00:00:00"/>
    <s v="East"/>
    <x v="0"/>
    <x v="0"/>
    <n v="2"/>
    <n v="2353.02"/>
    <n v="4706.04"/>
    <s v="P001"/>
  </r>
  <r>
    <n v="332"/>
    <x v="24"/>
    <d v="2024-09-23T00:00:00"/>
    <s v="South"/>
    <x v="0"/>
    <x v="0"/>
    <n v="8"/>
    <n v="1557.04"/>
    <n v="12456.32"/>
    <s v="P001"/>
  </r>
  <r>
    <n v="333"/>
    <x v="53"/>
    <d v="2024-03-23T00:00:00"/>
    <s v="North"/>
    <x v="1"/>
    <x v="11"/>
    <n v="9"/>
    <n v="3935.21"/>
    <n v="35416.89"/>
    <s v="P012"/>
  </r>
  <r>
    <n v="334"/>
    <x v="81"/>
    <d v="2024-03-20T00:00:00"/>
    <s v="West"/>
    <x v="3"/>
    <x v="9"/>
    <n v="4"/>
    <n v="3202.63"/>
    <n v="12810.52"/>
    <s v="P010"/>
  </r>
  <r>
    <n v="335"/>
    <x v="2"/>
    <d v="2024-09-29T00:00:00"/>
    <s v="North"/>
    <x v="3"/>
    <x v="14"/>
    <n v="4"/>
    <n v="3313.05"/>
    <n v="13252.2"/>
    <s v="P015"/>
  </r>
  <r>
    <n v="336"/>
    <x v="50"/>
    <d v="2024-08-18T00:00:00"/>
    <s v="South"/>
    <x v="0"/>
    <x v="13"/>
    <n v="3"/>
    <n v="1902.02"/>
    <n v="5706.06"/>
    <s v="P014"/>
  </r>
  <r>
    <n v="337"/>
    <x v="95"/>
    <d v="2024-01-14T00:00:00"/>
    <s v="East"/>
    <x v="0"/>
    <x v="3"/>
    <n v="6"/>
    <n v="4822.7299999999996"/>
    <n v="28936.38"/>
    <s v="P004"/>
  </r>
  <r>
    <n v="338"/>
    <x v="96"/>
    <d v="2024-03-02T00:00:00"/>
    <s v="East"/>
    <x v="0"/>
    <x v="2"/>
    <n v="6"/>
    <n v="1373.08"/>
    <n v="8238.48"/>
    <s v="P003"/>
  </r>
  <r>
    <n v="339"/>
    <x v="45"/>
    <d v="2024-03-05T00:00:00"/>
    <s v="North"/>
    <x v="0"/>
    <x v="2"/>
    <n v="2"/>
    <n v="3183.56"/>
    <n v="6367.12"/>
    <s v="P003"/>
  </r>
  <r>
    <n v="340"/>
    <x v="83"/>
    <d v="2024-06-21T00:00:00"/>
    <s v="West"/>
    <x v="3"/>
    <x v="9"/>
    <n v="3"/>
    <n v="1402.67"/>
    <n v="4208.01"/>
    <s v="P010"/>
  </r>
  <r>
    <n v="341"/>
    <x v="33"/>
    <d v="2024-07-09T00:00:00"/>
    <s v="North"/>
    <x v="3"/>
    <x v="14"/>
    <n v="7"/>
    <n v="831.27"/>
    <n v="5818.89"/>
    <s v="P015"/>
  </r>
  <r>
    <n v="342"/>
    <x v="87"/>
    <d v="2024-02-03T00:00:00"/>
    <s v="West"/>
    <x v="3"/>
    <x v="8"/>
    <n v="8"/>
    <n v="4072.36"/>
    <n v="32578.880000000001"/>
    <s v="P009"/>
  </r>
  <r>
    <n v="343"/>
    <x v="70"/>
    <d v="2024-02-11T00:00:00"/>
    <s v="North"/>
    <x v="2"/>
    <x v="12"/>
    <n v="1"/>
    <n v="4781.1400000000003"/>
    <n v="4781.1400000000003"/>
    <s v="P013"/>
  </r>
  <r>
    <n v="344"/>
    <x v="65"/>
    <d v="2024-04-29T00:00:00"/>
    <s v="North"/>
    <x v="4"/>
    <x v="19"/>
    <n v="2"/>
    <n v="2244.2600000000002"/>
    <n v="4488.5200000000004"/>
    <s v="P020"/>
  </r>
  <r>
    <n v="345"/>
    <x v="76"/>
    <d v="2024-04-06T00:00:00"/>
    <s v="South"/>
    <x v="2"/>
    <x v="5"/>
    <n v="8"/>
    <n v="2361.2399999999998"/>
    <n v="18889.919999999998"/>
    <s v="P006"/>
  </r>
  <r>
    <n v="346"/>
    <x v="70"/>
    <d v="2024-09-03T00:00:00"/>
    <s v="South"/>
    <x v="1"/>
    <x v="16"/>
    <n v="8"/>
    <n v="1212.1300000000001"/>
    <n v="9697.0400000000009"/>
    <s v="P017"/>
  </r>
  <r>
    <n v="347"/>
    <x v="34"/>
    <d v="2024-06-21T00:00:00"/>
    <s v="East"/>
    <x v="0"/>
    <x v="13"/>
    <n v="1"/>
    <n v="2272.04"/>
    <n v="2272.04"/>
    <s v="P014"/>
  </r>
  <r>
    <n v="348"/>
    <x v="1"/>
    <d v="2024-07-18T00:00:00"/>
    <s v="North"/>
    <x v="1"/>
    <x v="11"/>
    <n v="3"/>
    <n v="449.16"/>
    <n v="1347.48"/>
    <s v="P012"/>
  </r>
  <r>
    <n v="349"/>
    <x v="71"/>
    <d v="2024-01-17T00:00:00"/>
    <s v="North"/>
    <x v="3"/>
    <x v="9"/>
    <n v="8"/>
    <n v="1830.93"/>
    <n v="14647.44"/>
    <s v="P010"/>
  </r>
  <r>
    <n v="350"/>
    <x v="64"/>
    <d v="2024-05-18T00:00:00"/>
    <s v="West"/>
    <x v="1"/>
    <x v="4"/>
    <n v="3"/>
    <n v="1007.46"/>
    <n v="3022.38"/>
    <s v="P005"/>
  </r>
  <r>
    <n v="351"/>
    <x v="61"/>
    <d v="2024-09-17T00:00:00"/>
    <s v="North"/>
    <x v="2"/>
    <x v="5"/>
    <n v="1"/>
    <n v="1547.68"/>
    <n v="1547.68"/>
    <s v="P006"/>
  </r>
  <r>
    <n v="352"/>
    <x v="10"/>
    <d v="2024-02-18T00:00:00"/>
    <s v="West"/>
    <x v="3"/>
    <x v="8"/>
    <n v="9"/>
    <n v="3255.13"/>
    <n v="29296.17"/>
    <s v="P009"/>
  </r>
  <r>
    <n v="353"/>
    <x v="6"/>
    <d v="2024-09-11T00:00:00"/>
    <s v="South"/>
    <x v="2"/>
    <x v="12"/>
    <n v="4"/>
    <n v="1534.83"/>
    <n v="6139.32"/>
    <s v="P013"/>
  </r>
  <r>
    <n v="354"/>
    <x v="95"/>
    <d v="2024-09-25T00:00:00"/>
    <s v="North"/>
    <x v="3"/>
    <x v="8"/>
    <n v="1"/>
    <n v="4647.6099999999997"/>
    <n v="4647.6099999999997"/>
    <s v="P009"/>
  </r>
  <r>
    <n v="355"/>
    <x v="47"/>
    <d v="2024-06-01T00:00:00"/>
    <s v="West"/>
    <x v="1"/>
    <x v="16"/>
    <n v="9"/>
    <n v="902.05"/>
    <n v="8118.45"/>
    <s v="P017"/>
  </r>
  <r>
    <n v="356"/>
    <x v="30"/>
    <d v="2024-07-31T00:00:00"/>
    <s v="West"/>
    <x v="1"/>
    <x v="16"/>
    <n v="1"/>
    <n v="3264.47"/>
    <n v="3264.47"/>
    <s v="P017"/>
  </r>
  <r>
    <n v="357"/>
    <x v="54"/>
    <d v="2024-05-01T00:00:00"/>
    <s v="West"/>
    <x v="4"/>
    <x v="10"/>
    <n v="9"/>
    <n v="2765.68"/>
    <n v="24891.119999999999"/>
    <s v="P011"/>
  </r>
  <r>
    <n v="358"/>
    <x v="3"/>
    <d v="2024-05-28T00:00:00"/>
    <s v="South"/>
    <x v="3"/>
    <x v="14"/>
    <n v="6"/>
    <n v="3790.62"/>
    <n v="22743.72"/>
    <s v="P015"/>
  </r>
  <r>
    <n v="359"/>
    <x v="62"/>
    <d v="2024-01-22T00:00:00"/>
    <s v="West"/>
    <x v="0"/>
    <x v="3"/>
    <n v="2"/>
    <n v="628.91999999999996"/>
    <n v="1257.8399999999999"/>
    <s v="P004"/>
  </r>
  <r>
    <n v="360"/>
    <x v="94"/>
    <d v="2024-10-09T00:00:00"/>
    <s v="South"/>
    <x v="1"/>
    <x v="4"/>
    <n v="8"/>
    <n v="1777.68"/>
    <n v="14221.44"/>
    <s v="P005"/>
  </r>
  <r>
    <n v="361"/>
    <x v="27"/>
    <d v="2024-06-19T00:00:00"/>
    <s v="North"/>
    <x v="0"/>
    <x v="3"/>
    <n v="8"/>
    <n v="3098.51"/>
    <n v="24788.080000000002"/>
    <s v="P004"/>
  </r>
  <r>
    <n v="362"/>
    <x v="34"/>
    <d v="2024-01-23T00:00:00"/>
    <s v="North"/>
    <x v="3"/>
    <x v="6"/>
    <n v="9"/>
    <n v="3829.5"/>
    <n v="34465.5"/>
    <s v="P007"/>
  </r>
  <r>
    <n v="363"/>
    <x v="52"/>
    <d v="2024-07-04T00:00:00"/>
    <s v="West"/>
    <x v="4"/>
    <x v="10"/>
    <n v="5"/>
    <n v="4419.1099999999997"/>
    <n v="22095.55"/>
    <s v="P011"/>
  </r>
  <r>
    <n v="364"/>
    <x v="41"/>
    <d v="2024-04-13T00:00:00"/>
    <s v="East"/>
    <x v="2"/>
    <x v="5"/>
    <n v="9"/>
    <n v="2819.92"/>
    <n v="25379.279999999999"/>
    <s v="P006"/>
  </r>
  <r>
    <n v="365"/>
    <x v="58"/>
    <d v="2024-08-18T00:00:00"/>
    <s v="East"/>
    <x v="1"/>
    <x v="16"/>
    <n v="9"/>
    <n v="1938.77"/>
    <n v="17448.93"/>
    <s v="P017"/>
  </r>
  <r>
    <n v="366"/>
    <x v="7"/>
    <d v="2024-03-26T00:00:00"/>
    <s v="South"/>
    <x v="2"/>
    <x v="5"/>
    <n v="6"/>
    <n v="4180.13"/>
    <n v="25080.78"/>
    <s v="P006"/>
  </r>
  <r>
    <n v="367"/>
    <x v="26"/>
    <d v="2024-01-14T00:00:00"/>
    <s v="North"/>
    <x v="2"/>
    <x v="12"/>
    <n v="9"/>
    <n v="3424.06"/>
    <n v="30816.54"/>
    <s v="P013"/>
  </r>
  <r>
    <n v="368"/>
    <x v="52"/>
    <d v="2024-08-30T00:00:00"/>
    <s v="East"/>
    <x v="1"/>
    <x v="11"/>
    <n v="4"/>
    <n v="1988.34"/>
    <n v="7953.36"/>
    <s v="P012"/>
  </r>
  <r>
    <n v="369"/>
    <x v="93"/>
    <d v="2024-01-20T00:00:00"/>
    <s v="South"/>
    <x v="1"/>
    <x v="16"/>
    <n v="5"/>
    <n v="3348.91"/>
    <n v="16744.55"/>
    <s v="P017"/>
  </r>
  <r>
    <n v="370"/>
    <x v="70"/>
    <d v="2024-07-20T00:00:00"/>
    <s v="South"/>
    <x v="3"/>
    <x v="14"/>
    <n v="9"/>
    <n v="1999.6"/>
    <n v="17996.400000000001"/>
    <s v="P015"/>
  </r>
  <r>
    <n v="371"/>
    <x v="86"/>
    <d v="2024-04-28T00:00:00"/>
    <s v="East"/>
    <x v="3"/>
    <x v="9"/>
    <n v="3"/>
    <n v="417.78"/>
    <n v="1253.3399999999999"/>
    <s v="P010"/>
  </r>
  <r>
    <n v="372"/>
    <x v="9"/>
    <d v="2024-07-04T00:00:00"/>
    <s v="East"/>
    <x v="3"/>
    <x v="14"/>
    <n v="8"/>
    <n v="3057.09"/>
    <n v="24456.720000000001"/>
    <s v="P015"/>
  </r>
  <r>
    <n v="373"/>
    <x v="0"/>
    <d v="2024-06-06T00:00:00"/>
    <s v="South"/>
    <x v="1"/>
    <x v="4"/>
    <n v="3"/>
    <n v="2541.4499999999998"/>
    <n v="7624.35"/>
    <s v="P005"/>
  </r>
  <r>
    <n v="374"/>
    <x v="71"/>
    <d v="2024-05-31T00:00:00"/>
    <s v="North"/>
    <x v="3"/>
    <x v="8"/>
    <n v="6"/>
    <n v="1128.23"/>
    <n v="6769.38"/>
    <s v="P009"/>
  </r>
  <r>
    <n v="375"/>
    <x v="74"/>
    <d v="2024-07-10T00:00:00"/>
    <s v="East"/>
    <x v="0"/>
    <x v="13"/>
    <n v="7"/>
    <n v="3703.98"/>
    <n v="25927.86"/>
    <s v="P014"/>
  </r>
  <r>
    <n v="376"/>
    <x v="11"/>
    <d v="2024-05-25T00:00:00"/>
    <s v="East"/>
    <x v="3"/>
    <x v="9"/>
    <n v="9"/>
    <n v="4672.26"/>
    <n v="42050.34"/>
    <s v="P010"/>
  </r>
  <r>
    <n v="377"/>
    <x v="76"/>
    <d v="2024-06-09T00:00:00"/>
    <s v="North"/>
    <x v="3"/>
    <x v="14"/>
    <n v="6"/>
    <n v="4956.5200000000004"/>
    <n v="29739.119999999999"/>
    <s v="P015"/>
  </r>
  <r>
    <n v="378"/>
    <x v="42"/>
    <d v="2024-05-16T00:00:00"/>
    <s v="South"/>
    <x v="0"/>
    <x v="3"/>
    <n v="4"/>
    <n v="1874.95"/>
    <n v="7499.8"/>
    <s v="P004"/>
  </r>
  <r>
    <n v="379"/>
    <x v="69"/>
    <d v="2024-09-15T00:00:00"/>
    <s v="North"/>
    <x v="1"/>
    <x v="11"/>
    <n v="6"/>
    <n v="1438.05"/>
    <n v="8628.2999999999993"/>
    <s v="P012"/>
  </r>
  <r>
    <n v="380"/>
    <x v="66"/>
    <d v="2024-02-20T00:00:00"/>
    <s v="North"/>
    <x v="1"/>
    <x v="16"/>
    <n v="3"/>
    <n v="2205.3200000000002"/>
    <n v="6615.96"/>
    <s v="P017"/>
  </r>
  <r>
    <n v="381"/>
    <x v="25"/>
    <d v="2024-02-18T00:00:00"/>
    <s v="North"/>
    <x v="2"/>
    <x v="7"/>
    <n v="5"/>
    <n v="3559.49"/>
    <n v="17797.45"/>
    <s v="P008"/>
  </r>
  <r>
    <n v="382"/>
    <x v="71"/>
    <d v="2024-09-16T00:00:00"/>
    <s v="South"/>
    <x v="2"/>
    <x v="17"/>
    <n v="1"/>
    <n v="3923.04"/>
    <n v="3923.04"/>
    <s v="P018"/>
  </r>
  <r>
    <n v="383"/>
    <x v="1"/>
    <d v="2024-10-23T00:00:00"/>
    <s v="South"/>
    <x v="3"/>
    <x v="14"/>
    <n v="9"/>
    <n v="3781.74"/>
    <n v="34035.660000000003"/>
    <s v="P015"/>
  </r>
  <r>
    <n v="384"/>
    <x v="15"/>
    <d v="2024-02-05T00:00:00"/>
    <s v="North"/>
    <x v="3"/>
    <x v="8"/>
    <n v="6"/>
    <n v="1382.36"/>
    <n v="8294.16"/>
    <s v="P009"/>
  </r>
  <r>
    <n v="385"/>
    <x v="3"/>
    <d v="2024-08-07T00:00:00"/>
    <s v="South"/>
    <x v="2"/>
    <x v="7"/>
    <n v="6"/>
    <n v="2201.5500000000002"/>
    <n v="13209.3"/>
    <s v="P008"/>
  </r>
  <r>
    <n v="386"/>
    <x v="31"/>
    <d v="2024-07-23T00:00:00"/>
    <s v="South"/>
    <x v="3"/>
    <x v="9"/>
    <n v="4"/>
    <n v="264.70999999999998"/>
    <n v="1058.8399999999999"/>
    <s v="P010"/>
  </r>
  <r>
    <n v="387"/>
    <x v="97"/>
    <d v="2024-09-06T00:00:00"/>
    <s v="East"/>
    <x v="4"/>
    <x v="19"/>
    <n v="4"/>
    <n v="1644.43"/>
    <n v="6577.72"/>
    <s v="P020"/>
  </r>
  <r>
    <n v="388"/>
    <x v="12"/>
    <d v="2024-01-07T00:00:00"/>
    <s v="South"/>
    <x v="2"/>
    <x v="7"/>
    <n v="8"/>
    <n v="2786.77"/>
    <n v="22294.16"/>
    <s v="P008"/>
  </r>
  <r>
    <n v="389"/>
    <x v="63"/>
    <d v="2024-05-22T00:00:00"/>
    <s v="West"/>
    <x v="0"/>
    <x v="2"/>
    <n v="8"/>
    <n v="1374.77"/>
    <n v="10998.16"/>
    <s v="P003"/>
  </r>
  <r>
    <n v="390"/>
    <x v="25"/>
    <d v="2024-06-13T00:00:00"/>
    <s v="South"/>
    <x v="0"/>
    <x v="2"/>
    <n v="5"/>
    <n v="3305.46"/>
    <n v="16527.3"/>
    <s v="P003"/>
  </r>
  <r>
    <n v="391"/>
    <x v="13"/>
    <d v="2024-06-09T00:00:00"/>
    <s v="South"/>
    <x v="0"/>
    <x v="13"/>
    <n v="9"/>
    <n v="4268.0200000000004"/>
    <n v="38412.18"/>
    <s v="P014"/>
  </r>
  <r>
    <n v="392"/>
    <x v="18"/>
    <d v="2024-03-21T00:00:00"/>
    <s v="West"/>
    <x v="0"/>
    <x v="3"/>
    <n v="2"/>
    <n v="2079.4899999999998"/>
    <n v="4158.9799999999996"/>
    <s v="P004"/>
  </r>
  <r>
    <n v="393"/>
    <x v="72"/>
    <d v="2024-06-17T00:00:00"/>
    <s v="East"/>
    <x v="4"/>
    <x v="19"/>
    <n v="2"/>
    <n v="500.45"/>
    <n v="1000.9"/>
    <s v="P020"/>
  </r>
  <r>
    <n v="394"/>
    <x v="63"/>
    <d v="2024-04-07T00:00:00"/>
    <s v="North"/>
    <x v="2"/>
    <x v="12"/>
    <n v="5"/>
    <n v="4733.92"/>
    <n v="23669.599999999999"/>
    <s v="P013"/>
  </r>
  <r>
    <n v="395"/>
    <x v="19"/>
    <d v="2024-03-06T00:00:00"/>
    <s v="South"/>
    <x v="2"/>
    <x v="7"/>
    <n v="3"/>
    <n v="3289.77"/>
    <n v="9869.31"/>
    <s v="P008"/>
  </r>
  <r>
    <n v="396"/>
    <x v="78"/>
    <d v="2024-03-16T00:00:00"/>
    <s v="West"/>
    <x v="3"/>
    <x v="6"/>
    <n v="3"/>
    <n v="354.59"/>
    <n v="1063.77"/>
    <s v="P007"/>
  </r>
  <r>
    <n v="397"/>
    <x v="19"/>
    <d v="2024-02-18T00:00:00"/>
    <s v="West"/>
    <x v="0"/>
    <x v="13"/>
    <n v="4"/>
    <n v="3808.08"/>
    <n v="15232.32"/>
    <s v="P014"/>
  </r>
  <r>
    <n v="398"/>
    <x v="16"/>
    <d v="2024-05-22T00:00:00"/>
    <s v="West"/>
    <x v="0"/>
    <x v="0"/>
    <n v="6"/>
    <n v="891.94"/>
    <n v="5351.64"/>
    <s v="P001"/>
  </r>
  <r>
    <n v="399"/>
    <x v="61"/>
    <d v="2024-06-16T00:00:00"/>
    <s v="South"/>
    <x v="3"/>
    <x v="8"/>
    <n v="1"/>
    <n v="233.12"/>
    <n v="233.12"/>
    <s v="P009"/>
  </r>
  <r>
    <n v="400"/>
    <x v="30"/>
    <d v="2024-09-04T00:00:00"/>
    <s v="South"/>
    <x v="1"/>
    <x v="1"/>
    <n v="1"/>
    <n v="2014.57"/>
    <n v="2014.57"/>
    <s v="P002"/>
  </r>
  <r>
    <n v="401"/>
    <x v="18"/>
    <d v="2024-09-18T00:00:00"/>
    <s v="East"/>
    <x v="3"/>
    <x v="6"/>
    <n v="9"/>
    <n v="2047.17"/>
    <n v="18424.53"/>
    <s v="P007"/>
  </r>
  <r>
    <n v="402"/>
    <x v="50"/>
    <d v="2024-07-15T00:00:00"/>
    <s v="East"/>
    <x v="1"/>
    <x v="1"/>
    <n v="8"/>
    <n v="1506.98"/>
    <n v="12055.84"/>
    <s v="P002"/>
  </r>
  <r>
    <n v="403"/>
    <x v="68"/>
    <d v="2024-10-23T00:00:00"/>
    <s v="West"/>
    <x v="0"/>
    <x v="3"/>
    <n v="8"/>
    <n v="4009.78"/>
    <n v="32078.240000000002"/>
    <s v="P004"/>
  </r>
  <r>
    <n v="404"/>
    <x v="6"/>
    <d v="2024-08-25T00:00:00"/>
    <s v="West"/>
    <x v="2"/>
    <x v="5"/>
    <n v="4"/>
    <n v="2833.32"/>
    <n v="11333.28"/>
    <s v="P006"/>
  </r>
  <r>
    <n v="405"/>
    <x v="81"/>
    <d v="2024-09-19T00:00:00"/>
    <s v="West"/>
    <x v="1"/>
    <x v="11"/>
    <n v="3"/>
    <n v="4496.21"/>
    <n v="13488.63"/>
    <s v="P012"/>
  </r>
  <r>
    <n v="406"/>
    <x v="72"/>
    <d v="2024-08-07T00:00:00"/>
    <s v="North"/>
    <x v="0"/>
    <x v="13"/>
    <n v="5"/>
    <n v="2257.58"/>
    <n v="11287.9"/>
    <s v="P014"/>
  </r>
  <r>
    <n v="407"/>
    <x v="78"/>
    <d v="2024-09-02T00:00:00"/>
    <s v="East"/>
    <x v="4"/>
    <x v="10"/>
    <n v="7"/>
    <n v="4838.92"/>
    <n v="33872.44"/>
    <s v="P011"/>
  </r>
  <r>
    <n v="408"/>
    <x v="56"/>
    <d v="2024-04-18T00:00:00"/>
    <s v="East"/>
    <x v="0"/>
    <x v="3"/>
    <n v="2"/>
    <n v="913.18"/>
    <n v="1826.36"/>
    <s v="P004"/>
  </r>
  <r>
    <n v="409"/>
    <x v="33"/>
    <d v="2024-02-28T00:00:00"/>
    <s v="East"/>
    <x v="1"/>
    <x v="11"/>
    <n v="9"/>
    <n v="555.85"/>
    <n v="5002.6499999999996"/>
    <s v="P012"/>
  </r>
  <r>
    <n v="410"/>
    <x v="50"/>
    <d v="2024-10-07T00:00:00"/>
    <s v="West"/>
    <x v="2"/>
    <x v="5"/>
    <n v="5"/>
    <n v="4869.9399999999996"/>
    <n v="24349.7"/>
    <s v="P006"/>
  </r>
  <r>
    <n v="411"/>
    <x v="83"/>
    <d v="2024-09-21T00:00:00"/>
    <s v="West"/>
    <x v="2"/>
    <x v="5"/>
    <n v="3"/>
    <n v="3821.95"/>
    <n v="11465.85"/>
    <s v="P006"/>
  </r>
  <r>
    <n v="412"/>
    <x v="47"/>
    <d v="2024-07-31T00:00:00"/>
    <s v="West"/>
    <x v="2"/>
    <x v="5"/>
    <n v="3"/>
    <n v="4411.13"/>
    <n v="13233.39"/>
    <s v="P006"/>
  </r>
  <r>
    <n v="413"/>
    <x v="17"/>
    <d v="2024-10-03T00:00:00"/>
    <s v="West"/>
    <x v="2"/>
    <x v="5"/>
    <n v="1"/>
    <n v="1275.3800000000001"/>
    <n v="1275.3800000000001"/>
    <s v="P006"/>
  </r>
  <r>
    <n v="414"/>
    <x v="63"/>
    <d v="2024-02-03T00:00:00"/>
    <s v="North"/>
    <x v="1"/>
    <x v="4"/>
    <n v="2"/>
    <n v="3769.25"/>
    <n v="7538.5"/>
    <s v="P005"/>
  </r>
  <r>
    <n v="415"/>
    <x v="26"/>
    <d v="2024-10-05T00:00:00"/>
    <s v="West"/>
    <x v="4"/>
    <x v="19"/>
    <n v="3"/>
    <n v="252.47"/>
    <n v="757.41"/>
    <s v="P020"/>
  </r>
  <r>
    <n v="416"/>
    <x v="43"/>
    <d v="2024-03-06T00:00:00"/>
    <s v="East"/>
    <x v="3"/>
    <x v="6"/>
    <n v="7"/>
    <n v="918.95"/>
    <n v="6432.65"/>
    <s v="P007"/>
  </r>
  <r>
    <n v="417"/>
    <x v="90"/>
    <d v="2024-05-03T00:00:00"/>
    <s v="North"/>
    <x v="1"/>
    <x v="1"/>
    <n v="9"/>
    <n v="1156.0999999999999"/>
    <n v="10404.9"/>
    <s v="P002"/>
  </r>
  <r>
    <n v="418"/>
    <x v="16"/>
    <d v="2024-07-09T00:00:00"/>
    <s v="North"/>
    <x v="1"/>
    <x v="11"/>
    <n v="5"/>
    <n v="2100.6999999999998"/>
    <n v="10503.5"/>
    <s v="P012"/>
  </r>
  <r>
    <n v="419"/>
    <x v="8"/>
    <d v="2024-02-08T00:00:00"/>
    <s v="North"/>
    <x v="1"/>
    <x v="1"/>
    <n v="2"/>
    <n v="3288.77"/>
    <n v="6577.54"/>
    <s v="P002"/>
  </r>
  <r>
    <n v="420"/>
    <x v="2"/>
    <d v="2024-09-07T00:00:00"/>
    <s v="East"/>
    <x v="1"/>
    <x v="4"/>
    <n v="2"/>
    <n v="2290.5700000000002"/>
    <n v="4581.1400000000003"/>
    <s v="P005"/>
  </r>
  <r>
    <n v="421"/>
    <x v="7"/>
    <d v="2024-05-21T00:00:00"/>
    <s v="West"/>
    <x v="0"/>
    <x v="13"/>
    <n v="3"/>
    <n v="2122.5300000000002"/>
    <n v="6367.59"/>
    <s v="P014"/>
  </r>
  <r>
    <n v="422"/>
    <x v="24"/>
    <d v="2024-03-24T00:00:00"/>
    <s v="North"/>
    <x v="4"/>
    <x v="10"/>
    <n v="8"/>
    <n v="233.16"/>
    <n v="1865.28"/>
    <s v="P011"/>
  </r>
  <r>
    <n v="423"/>
    <x v="27"/>
    <d v="2024-05-29T00:00:00"/>
    <s v="West"/>
    <x v="4"/>
    <x v="15"/>
    <n v="3"/>
    <n v="4147.59"/>
    <n v="12442.77"/>
    <s v="P016"/>
  </r>
  <r>
    <n v="424"/>
    <x v="75"/>
    <d v="2024-07-19T00:00:00"/>
    <s v="West"/>
    <x v="3"/>
    <x v="9"/>
    <n v="7"/>
    <n v="3144.59"/>
    <n v="22012.13"/>
    <s v="P010"/>
  </r>
  <r>
    <n v="425"/>
    <x v="16"/>
    <d v="2024-09-07T00:00:00"/>
    <s v="West"/>
    <x v="4"/>
    <x v="10"/>
    <n v="3"/>
    <n v="4376.49"/>
    <n v="13129.47"/>
    <s v="P011"/>
  </r>
  <r>
    <n v="426"/>
    <x v="47"/>
    <d v="2024-04-29T00:00:00"/>
    <s v="South"/>
    <x v="0"/>
    <x v="3"/>
    <n v="4"/>
    <n v="573.02"/>
    <n v="2292.08"/>
    <s v="P004"/>
  </r>
  <r>
    <n v="427"/>
    <x v="76"/>
    <d v="2024-09-21T00:00:00"/>
    <s v="West"/>
    <x v="4"/>
    <x v="10"/>
    <n v="4"/>
    <n v="1576.2"/>
    <n v="6304.8"/>
    <s v="P011"/>
  </r>
  <r>
    <n v="428"/>
    <x v="33"/>
    <d v="2024-08-14T00:00:00"/>
    <s v="North"/>
    <x v="1"/>
    <x v="16"/>
    <n v="9"/>
    <n v="335.9"/>
    <n v="3023.1"/>
    <s v="P017"/>
  </r>
  <r>
    <n v="429"/>
    <x v="95"/>
    <d v="2024-09-20T00:00:00"/>
    <s v="South"/>
    <x v="4"/>
    <x v="19"/>
    <n v="6"/>
    <n v="4472.28"/>
    <n v="26833.68"/>
    <s v="P020"/>
  </r>
  <r>
    <n v="430"/>
    <x v="42"/>
    <d v="2024-01-16T00:00:00"/>
    <s v="North"/>
    <x v="4"/>
    <x v="10"/>
    <n v="3"/>
    <n v="1412.11"/>
    <n v="4236.33"/>
    <s v="P011"/>
  </r>
  <r>
    <n v="431"/>
    <x v="22"/>
    <d v="2024-09-11T00:00:00"/>
    <s v="North"/>
    <x v="0"/>
    <x v="13"/>
    <n v="4"/>
    <n v="1179.0999999999999"/>
    <n v="4716.3999999999996"/>
    <s v="P014"/>
  </r>
  <r>
    <n v="432"/>
    <x v="12"/>
    <d v="2024-07-19T00:00:00"/>
    <s v="North"/>
    <x v="4"/>
    <x v="10"/>
    <n v="3"/>
    <n v="4163.51"/>
    <n v="12490.53"/>
    <s v="P011"/>
  </r>
  <r>
    <n v="433"/>
    <x v="89"/>
    <d v="2024-03-05T00:00:00"/>
    <s v="West"/>
    <x v="0"/>
    <x v="0"/>
    <n v="8"/>
    <n v="1653.04"/>
    <n v="13224.32"/>
    <s v="P001"/>
  </r>
  <r>
    <n v="434"/>
    <x v="54"/>
    <d v="2024-06-22T00:00:00"/>
    <s v="East"/>
    <x v="4"/>
    <x v="15"/>
    <n v="4"/>
    <n v="2272.56"/>
    <n v="9090.24"/>
    <s v="P016"/>
  </r>
  <r>
    <n v="435"/>
    <x v="60"/>
    <d v="2024-02-07T00:00:00"/>
    <s v="West"/>
    <x v="4"/>
    <x v="19"/>
    <n v="3"/>
    <n v="1263.42"/>
    <n v="3790.26"/>
    <s v="P020"/>
  </r>
  <r>
    <n v="436"/>
    <x v="73"/>
    <d v="2024-01-28T00:00:00"/>
    <s v="West"/>
    <x v="3"/>
    <x v="9"/>
    <n v="3"/>
    <n v="3295.9"/>
    <n v="9887.7000000000007"/>
    <s v="P010"/>
  </r>
  <r>
    <n v="437"/>
    <x v="8"/>
    <d v="2024-06-10T00:00:00"/>
    <s v="East"/>
    <x v="4"/>
    <x v="19"/>
    <n v="8"/>
    <n v="3207.11"/>
    <n v="25656.880000000001"/>
    <s v="P020"/>
  </r>
  <r>
    <n v="438"/>
    <x v="34"/>
    <d v="2024-08-01T00:00:00"/>
    <s v="North"/>
    <x v="2"/>
    <x v="12"/>
    <n v="6"/>
    <n v="323.68"/>
    <n v="1942.08"/>
    <s v="P013"/>
  </r>
  <r>
    <n v="439"/>
    <x v="98"/>
    <d v="2024-04-02T00:00:00"/>
    <s v="North"/>
    <x v="4"/>
    <x v="15"/>
    <n v="8"/>
    <n v="2401.7399999999998"/>
    <n v="19213.919999999998"/>
    <s v="P016"/>
  </r>
  <r>
    <n v="440"/>
    <x v="10"/>
    <d v="2024-08-24T00:00:00"/>
    <s v="West"/>
    <x v="4"/>
    <x v="19"/>
    <n v="6"/>
    <n v="4285.2700000000004"/>
    <n v="25711.62"/>
    <s v="P020"/>
  </r>
  <r>
    <n v="441"/>
    <x v="62"/>
    <d v="2024-05-15T00:00:00"/>
    <s v="East"/>
    <x v="3"/>
    <x v="14"/>
    <n v="1"/>
    <n v="1760.42"/>
    <n v="1760.42"/>
    <s v="P015"/>
  </r>
  <r>
    <n v="442"/>
    <x v="58"/>
    <d v="2024-09-01T00:00:00"/>
    <s v="North"/>
    <x v="2"/>
    <x v="17"/>
    <n v="6"/>
    <n v="4665.59"/>
    <n v="27993.54"/>
    <s v="P018"/>
  </r>
  <r>
    <n v="443"/>
    <x v="35"/>
    <d v="2024-02-06T00:00:00"/>
    <s v="North"/>
    <x v="4"/>
    <x v="19"/>
    <n v="8"/>
    <n v="2704.84"/>
    <n v="21638.720000000001"/>
    <s v="P020"/>
  </r>
  <r>
    <n v="444"/>
    <x v="41"/>
    <d v="2024-07-01T00:00:00"/>
    <s v="North"/>
    <x v="0"/>
    <x v="13"/>
    <n v="3"/>
    <n v="2307.9299999999998"/>
    <n v="6923.79"/>
    <s v="P014"/>
  </r>
  <r>
    <n v="445"/>
    <x v="14"/>
    <d v="2024-02-14T00:00:00"/>
    <s v="North"/>
    <x v="3"/>
    <x v="6"/>
    <n v="8"/>
    <n v="4547.29"/>
    <n v="36378.32"/>
    <s v="P007"/>
  </r>
  <r>
    <n v="446"/>
    <x v="66"/>
    <d v="2024-08-27T00:00:00"/>
    <s v="North"/>
    <x v="0"/>
    <x v="2"/>
    <n v="7"/>
    <n v="4774.76"/>
    <n v="33423.32"/>
    <s v="P003"/>
  </r>
  <r>
    <n v="447"/>
    <x v="68"/>
    <d v="2024-01-08T00:00:00"/>
    <s v="North"/>
    <x v="1"/>
    <x v="16"/>
    <n v="7"/>
    <n v="3616.1"/>
    <n v="25312.7"/>
    <s v="P017"/>
  </r>
  <r>
    <n v="448"/>
    <x v="51"/>
    <d v="2024-08-02T00:00:00"/>
    <s v="North"/>
    <x v="3"/>
    <x v="8"/>
    <n v="2"/>
    <n v="660.99"/>
    <n v="1321.98"/>
    <s v="P009"/>
  </r>
  <r>
    <n v="449"/>
    <x v="20"/>
    <d v="2024-06-09T00:00:00"/>
    <s v="East"/>
    <x v="3"/>
    <x v="8"/>
    <n v="5"/>
    <n v="693.02"/>
    <n v="3465.1"/>
    <s v="P009"/>
  </r>
  <r>
    <n v="450"/>
    <x v="28"/>
    <d v="2024-03-24T00:00:00"/>
    <s v="North"/>
    <x v="4"/>
    <x v="10"/>
    <n v="3"/>
    <n v="1838.38"/>
    <n v="5515.14"/>
    <s v="P011"/>
  </r>
  <r>
    <n v="451"/>
    <x v="92"/>
    <d v="2024-09-14T00:00:00"/>
    <s v="East"/>
    <x v="0"/>
    <x v="3"/>
    <n v="2"/>
    <n v="4451.3900000000003"/>
    <n v="8902.7800000000007"/>
    <s v="P004"/>
  </r>
  <r>
    <n v="452"/>
    <x v="28"/>
    <d v="2024-09-22T00:00:00"/>
    <s v="South"/>
    <x v="2"/>
    <x v="17"/>
    <n v="6"/>
    <n v="667.11"/>
    <n v="4002.66"/>
    <s v="P018"/>
  </r>
  <r>
    <n v="453"/>
    <x v="2"/>
    <d v="2024-01-28T00:00:00"/>
    <s v="East"/>
    <x v="3"/>
    <x v="8"/>
    <n v="5"/>
    <n v="4522.0200000000004"/>
    <n v="22610.1"/>
    <s v="P009"/>
  </r>
  <r>
    <n v="454"/>
    <x v="95"/>
    <d v="2024-10-22T00:00:00"/>
    <s v="South"/>
    <x v="4"/>
    <x v="19"/>
    <n v="3"/>
    <n v="2299.38"/>
    <n v="6898.14"/>
    <s v="P020"/>
  </r>
  <r>
    <n v="455"/>
    <x v="2"/>
    <d v="2024-07-31T00:00:00"/>
    <s v="South"/>
    <x v="4"/>
    <x v="15"/>
    <n v="9"/>
    <n v="3672.95"/>
    <n v="33056.550000000003"/>
    <s v="P016"/>
  </r>
  <r>
    <n v="456"/>
    <x v="75"/>
    <d v="2024-10-10T00:00:00"/>
    <s v="North"/>
    <x v="1"/>
    <x v="16"/>
    <n v="4"/>
    <n v="3397.54"/>
    <n v="13590.16"/>
    <s v="P017"/>
  </r>
  <r>
    <n v="457"/>
    <x v="40"/>
    <d v="2024-05-01T00:00:00"/>
    <s v="South"/>
    <x v="3"/>
    <x v="14"/>
    <n v="2"/>
    <n v="1982.77"/>
    <n v="3965.54"/>
    <s v="P015"/>
  </r>
  <r>
    <n v="458"/>
    <x v="98"/>
    <d v="2024-06-04T00:00:00"/>
    <s v="West"/>
    <x v="4"/>
    <x v="15"/>
    <n v="7"/>
    <n v="1662.45"/>
    <n v="11637.15"/>
    <s v="P016"/>
  </r>
  <r>
    <n v="459"/>
    <x v="13"/>
    <d v="2024-06-08T00:00:00"/>
    <s v="South"/>
    <x v="1"/>
    <x v="11"/>
    <n v="6"/>
    <n v="3557.37"/>
    <n v="21344.22"/>
    <s v="P012"/>
  </r>
  <r>
    <n v="460"/>
    <x v="23"/>
    <d v="2024-06-15T00:00:00"/>
    <s v="South"/>
    <x v="3"/>
    <x v="9"/>
    <n v="7"/>
    <n v="798.71"/>
    <n v="5590.97"/>
    <s v="P010"/>
  </r>
  <r>
    <n v="461"/>
    <x v="18"/>
    <d v="2024-07-11T00:00:00"/>
    <s v="East"/>
    <x v="3"/>
    <x v="6"/>
    <n v="2"/>
    <n v="3220.82"/>
    <n v="6441.64"/>
    <s v="P007"/>
  </r>
  <r>
    <n v="462"/>
    <x v="34"/>
    <d v="2024-05-05T00:00:00"/>
    <s v="East"/>
    <x v="4"/>
    <x v="19"/>
    <n v="6"/>
    <n v="4250.9799999999996"/>
    <n v="25505.88"/>
    <s v="P020"/>
  </r>
  <r>
    <n v="463"/>
    <x v="42"/>
    <d v="2024-06-24T00:00:00"/>
    <s v="West"/>
    <x v="3"/>
    <x v="8"/>
    <n v="1"/>
    <n v="615.77"/>
    <n v="615.77"/>
    <s v="P009"/>
  </r>
  <r>
    <n v="464"/>
    <x v="97"/>
    <d v="2024-03-07T00:00:00"/>
    <s v="East"/>
    <x v="0"/>
    <x v="13"/>
    <n v="6"/>
    <n v="4635.62"/>
    <n v="27813.72"/>
    <s v="P014"/>
  </r>
  <r>
    <n v="465"/>
    <x v="38"/>
    <d v="2024-08-21T00:00:00"/>
    <s v="East"/>
    <x v="2"/>
    <x v="5"/>
    <n v="5"/>
    <n v="1517.3"/>
    <n v="7586.5"/>
    <s v="P006"/>
  </r>
  <r>
    <n v="466"/>
    <x v="5"/>
    <d v="2024-06-18T00:00:00"/>
    <s v="West"/>
    <x v="0"/>
    <x v="0"/>
    <n v="7"/>
    <n v="2276.23"/>
    <n v="15933.61"/>
    <s v="P001"/>
  </r>
  <r>
    <n v="467"/>
    <x v="46"/>
    <d v="2024-07-19T00:00:00"/>
    <s v="North"/>
    <x v="0"/>
    <x v="3"/>
    <n v="4"/>
    <n v="251.59"/>
    <n v="1006.36"/>
    <s v="P004"/>
  </r>
  <r>
    <n v="468"/>
    <x v="9"/>
    <d v="2024-10-04T00:00:00"/>
    <s v="West"/>
    <x v="0"/>
    <x v="3"/>
    <n v="9"/>
    <n v="2813.19"/>
    <n v="25318.71"/>
    <s v="P004"/>
  </r>
  <r>
    <n v="469"/>
    <x v="54"/>
    <d v="2024-02-11T00:00:00"/>
    <s v="South"/>
    <x v="0"/>
    <x v="0"/>
    <n v="1"/>
    <n v="2586.4899999999998"/>
    <n v="2586.4899999999998"/>
    <s v="P001"/>
  </r>
  <r>
    <n v="470"/>
    <x v="1"/>
    <d v="2024-10-26T00:00:00"/>
    <s v="East"/>
    <x v="3"/>
    <x v="6"/>
    <n v="1"/>
    <n v="2944.29"/>
    <n v="2944.29"/>
    <s v="P007"/>
  </r>
  <r>
    <n v="471"/>
    <x v="99"/>
    <d v="2024-05-04T00:00:00"/>
    <s v="East"/>
    <x v="0"/>
    <x v="0"/>
    <n v="2"/>
    <n v="2495.6"/>
    <n v="4991.2"/>
    <s v="P001"/>
  </r>
  <r>
    <n v="472"/>
    <x v="1"/>
    <d v="2024-09-29T00:00:00"/>
    <s v="East"/>
    <x v="3"/>
    <x v="8"/>
    <n v="8"/>
    <n v="1696.53"/>
    <n v="13572.24"/>
    <s v="P009"/>
  </r>
  <r>
    <n v="473"/>
    <x v="57"/>
    <d v="2024-09-06T00:00:00"/>
    <s v="East"/>
    <x v="0"/>
    <x v="0"/>
    <n v="5"/>
    <n v="825.12"/>
    <n v="4125.6000000000004"/>
    <s v="P001"/>
  </r>
  <r>
    <n v="474"/>
    <x v="97"/>
    <d v="2024-05-24T00:00:00"/>
    <s v="North"/>
    <x v="3"/>
    <x v="8"/>
    <n v="3"/>
    <n v="748.62"/>
    <n v="2245.86"/>
    <s v="P009"/>
  </r>
  <r>
    <n v="475"/>
    <x v="83"/>
    <d v="2024-04-26T00:00:00"/>
    <s v="South"/>
    <x v="1"/>
    <x v="16"/>
    <n v="6"/>
    <n v="740.2"/>
    <n v="4441.2"/>
    <s v="P017"/>
  </r>
  <r>
    <n v="476"/>
    <x v="27"/>
    <d v="2024-01-05T00:00:00"/>
    <s v="North"/>
    <x v="3"/>
    <x v="9"/>
    <n v="6"/>
    <n v="829.1"/>
    <n v="4974.6000000000004"/>
    <s v="P010"/>
  </r>
  <r>
    <n v="477"/>
    <x v="95"/>
    <d v="2024-06-02T00:00:00"/>
    <s v="West"/>
    <x v="3"/>
    <x v="14"/>
    <n v="4"/>
    <n v="4331.38"/>
    <n v="17325.52"/>
    <s v="P015"/>
  </r>
  <r>
    <n v="478"/>
    <x v="36"/>
    <d v="2024-09-06T00:00:00"/>
    <s v="West"/>
    <x v="1"/>
    <x v="11"/>
    <n v="8"/>
    <n v="2262"/>
    <n v="18096"/>
    <s v="P012"/>
  </r>
  <r>
    <n v="479"/>
    <x v="45"/>
    <d v="2024-07-21T00:00:00"/>
    <s v="West"/>
    <x v="4"/>
    <x v="15"/>
    <n v="2"/>
    <n v="3656.01"/>
    <n v="7312.02"/>
    <s v="P016"/>
  </r>
  <r>
    <n v="480"/>
    <x v="15"/>
    <d v="2024-08-06T00:00:00"/>
    <s v="South"/>
    <x v="3"/>
    <x v="6"/>
    <n v="4"/>
    <n v="4052.29"/>
    <n v="16209.16"/>
    <s v="P007"/>
  </r>
  <r>
    <n v="481"/>
    <x v="69"/>
    <d v="2024-02-17T00:00:00"/>
    <s v="East"/>
    <x v="4"/>
    <x v="10"/>
    <n v="4"/>
    <n v="115.52"/>
    <n v="462.08"/>
    <s v="P011"/>
  </r>
  <r>
    <n v="482"/>
    <x v="66"/>
    <d v="2024-08-12T00:00:00"/>
    <s v="West"/>
    <x v="1"/>
    <x v="4"/>
    <n v="6"/>
    <n v="1354.63"/>
    <n v="8127.78"/>
    <s v="P005"/>
  </r>
  <r>
    <n v="483"/>
    <x v="46"/>
    <d v="2024-01-13T00:00:00"/>
    <s v="East"/>
    <x v="0"/>
    <x v="0"/>
    <n v="7"/>
    <n v="193.67"/>
    <n v="1355.69"/>
    <s v="P001"/>
  </r>
  <r>
    <n v="484"/>
    <x v="4"/>
    <d v="2024-01-22T00:00:00"/>
    <s v="North"/>
    <x v="1"/>
    <x v="4"/>
    <n v="6"/>
    <n v="2683.41"/>
    <n v="16100.46"/>
    <s v="P005"/>
  </r>
  <r>
    <n v="485"/>
    <x v="23"/>
    <d v="2024-05-05T00:00:00"/>
    <s v="North"/>
    <x v="3"/>
    <x v="8"/>
    <n v="9"/>
    <n v="1465.92"/>
    <n v="13193.28"/>
    <s v="P009"/>
  </r>
  <r>
    <n v="486"/>
    <x v="60"/>
    <d v="2024-10-12T00:00:00"/>
    <s v="North"/>
    <x v="1"/>
    <x v="4"/>
    <n v="2"/>
    <n v="3416.42"/>
    <n v="6832.84"/>
    <s v="P005"/>
  </r>
  <r>
    <n v="487"/>
    <x v="48"/>
    <d v="2024-01-30T00:00:00"/>
    <s v="East"/>
    <x v="1"/>
    <x v="11"/>
    <n v="4"/>
    <n v="4187.3100000000004"/>
    <n v="16749.240000000002"/>
    <s v="P012"/>
  </r>
  <r>
    <n v="488"/>
    <x v="80"/>
    <d v="2024-02-06T00:00:00"/>
    <s v="North"/>
    <x v="0"/>
    <x v="13"/>
    <n v="9"/>
    <n v="3853.97"/>
    <n v="34685.730000000003"/>
    <s v="P014"/>
  </r>
  <r>
    <n v="489"/>
    <x v="76"/>
    <d v="2024-02-04T00:00:00"/>
    <s v="South"/>
    <x v="4"/>
    <x v="18"/>
    <n v="4"/>
    <n v="2094.8200000000002"/>
    <n v="8379.2800000000007"/>
    <s v="P019"/>
  </r>
  <r>
    <n v="490"/>
    <x v="0"/>
    <d v="2024-03-12T00:00:00"/>
    <s v="East"/>
    <x v="3"/>
    <x v="9"/>
    <n v="2"/>
    <n v="129.83000000000001"/>
    <n v="259.66000000000003"/>
    <s v="P010"/>
  </r>
  <r>
    <n v="491"/>
    <x v="26"/>
    <d v="2024-05-02T00:00:00"/>
    <s v="South"/>
    <x v="2"/>
    <x v="7"/>
    <n v="1"/>
    <n v="2553.06"/>
    <n v="2553.06"/>
    <s v="P008"/>
  </r>
  <r>
    <n v="492"/>
    <x v="9"/>
    <d v="2024-07-06T00:00:00"/>
    <s v="South"/>
    <x v="2"/>
    <x v="5"/>
    <n v="8"/>
    <n v="1546.92"/>
    <n v="12375.36"/>
    <s v="P006"/>
  </r>
  <r>
    <n v="493"/>
    <x v="82"/>
    <d v="2024-10-21T00:00:00"/>
    <s v="East"/>
    <x v="1"/>
    <x v="16"/>
    <n v="7"/>
    <n v="2434.54"/>
    <n v="17041.78"/>
    <s v="P017"/>
  </r>
  <r>
    <n v="494"/>
    <x v="27"/>
    <d v="2024-08-20T00:00:00"/>
    <s v="South"/>
    <x v="0"/>
    <x v="3"/>
    <n v="5"/>
    <n v="1151.68"/>
    <n v="5758.4"/>
    <s v="P004"/>
  </r>
  <r>
    <n v="495"/>
    <x v="79"/>
    <d v="2024-10-07T00:00:00"/>
    <s v="South"/>
    <x v="4"/>
    <x v="15"/>
    <n v="7"/>
    <n v="4347.97"/>
    <n v="30435.79"/>
    <s v="P016"/>
  </r>
  <r>
    <n v="496"/>
    <x v="20"/>
    <d v="2024-01-10T00:00:00"/>
    <s v="West"/>
    <x v="3"/>
    <x v="14"/>
    <n v="2"/>
    <n v="1285.47"/>
    <n v="2570.94"/>
    <s v="P015"/>
  </r>
  <r>
    <n v="497"/>
    <x v="14"/>
    <d v="2024-02-22T00:00:00"/>
    <s v="West"/>
    <x v="3"/>
    <x v="9"/>
    <n v="7"/>
    <n v="3631.21"/>
    <n v="25418.47"/>
    <s v="P010"/>
  </r>
  <r>
    <n v="498"/>
    <x v="76"/>
    <d v="2024-04-28T00:00:00"/>
    <s v="East"/>
    <x v="2"/>
    <x v="5"/>
    <n v="8"/>
    <n v="3184.83"/>
    <n v="25478.639999999999"/>
    <s v="P006"/>
  </r>
  <r>
    <n v="499"/>
    <x v="49"/>
    <d v="2024-07-22T00:00:00"/>
    <s v="North"/>
    <x v="4"/>
    <x v="15"/>
    <n v="1"/>
    <n v="2604.5300000000002"/>
    <n v="2604.5300000000002"/>
    <s v="P016"/>
  </r>
  <r>
    <n v="500"/>
    <x v="91"/>
    <d v="2024-09-30T00:00:00"/>
    <s v="West"/>
    <x v="4"/>
    <x v="15"/>
    <n v="8"/>
    <n v="4212.76"/>
    <n v="33702.080000000002"/>
    <s v="P016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1">
  <r>
    <n v="1"/>
    <s v="CUST1083"/>
    <d v="2024-04-12T00:00:00"/>
    <x v="0"/>
    <x v="0"/>
    <x v="0"/>
    <n v="8"/>
    <n v="3033.43"/>
    <n v="24267.439999999999"/>
    <s v="P001"/>
  </r>
  <r>
    <n v="2"/>
    <s v="CUST1024"/>
    <d v="2024-08-02T00:00:00"/>
    <x v="1"/>
    <x v="1"/>
    <x v="1"/>
    <n v="5"/>
    <n v="3045.46"/>
    <n v="15227.3"/>
    <s v="P002"/>
  </r>
  <r>
    <n v="3"/>
    <s v="CUST1038"/>
    <d v="2024-05-10T00:00:00"/>
    <x v="2"/>
    <x v="0"/>
    <x v="2"/>
    <n v="8"/>
    <n v="4178.97"/>
    <n v="33431.760000000002"/>
    <s v="P003"/>
  </r>
  <r>
    <n v="4"/>
    <s v="CUST1089"/>
    <d v="2024-07-10T00:00:00"/>
    <x v="0"/>
    <x v="0"/>
    <x v="3"/>
    <n v="6"/>
    <n v="134.62"/>
    <n v="807.72"/>
    <s v="P004"/>
  </r>
  <r>
    <n v="5"/>
    <s v="CUST1064"/>
    <d v="2024-02-18T00:00:00"/>
    <x v="1"/>
    <x v="1"/>
    <x v="4"/>
    <n v="3"/>
    <n v="1974.06"/>
    <n v="5922.18"/>
    <s v="P005"/>
  </r>
  <r>
    <n v="6"/>
    <s v="CUST1018"/>
    <d v="2024-05-10T00:00:00"/>
    <x v="3"/>
    <x v="1"/>
    <x v="4"/>
    <n v="5"/>
    <n v="2307.4499999999998"/>
    <n v="11537.25"/>
    <s v="P005"/>
  </r>
  <r>
    <n v="7"/>
    <s v="CUST1002"/>
    <d v="2024-03-29T00:00:00"/>
    <x v="0"/>
    <x v="2"/>
    <x v="5"/>
    <n v="9"/>
    <n v="178.23"/>
    <n v="1604.07"/>
    <s v="P006"/>
  </r>
  <r>
    <n v="8"/>
    <s v="CUST1078"/>
    <d v="2024-04-01T00:00:00"/>
    <x v="1"/>
    <x v="3"/>
    <x v="6"/>
    <n v="8"/>
    <n v="268.5"/>
    <n v="2148"/>
    <s v="P007"/>
  </r>
  <r>
    <n v="9"/>
    <s v="CUST1006"/>
    <d v="2024-03-21T00:00:00"/>
    <x v="0"/>
    <x v="2"/>
    <x v="7"/>
    <n v="4"/>
    <n v="1627.38"/>
    <n v="6509.52"/>
    <s v="P008"/>
  </r>
  <r>
    <n v="10"/>
    <s v="CUST1034"/>
    <d v="2024-02-23T00:00:00"/>
    <x v="2"/>
    <x v="3"/>
    <x v="8"/>
    <n v="2"/>
    <n v="3898.15"/>
    <n v="7796.3"/>
    <s v="P009"/>
  </r>
  <r>
    <n v="11"/>
    <s v="CUST1062"/>
    <d v="2024-07-20T00:00:00"/>
    <x v="2"/>
    <x v="3"/>
    <x v="8"/>
    <n v="8"/>
    <n v="2895.18"/>
    <n v="23161.439999999999"/>
    <s v="P009"/>
  </r>
  <r>
    <n v="12"/>
    <s v="CUST1089"/>
    <d v="2024-10-22T00:00:00"/>
    <x v="3"/>
    <x v="0"/>
    <x v="2"/>
    <n v="5"/>
    <n v="2975.08"/>
    <n v="14875.4"/>
    <s v="P003"/>
  </r>
  <r>
    <n v="13"/>
    <s v="CUST1045"/>
    <d v="2024-09-08T00:00:00"/>
    <x v="0"/>
    <x v="3"/>
    <x v="9"/>
    <n v="9"/>
    <n v="1551.74"/>
    <n v="13965.66"/>
    <s v="P010"/>
  </r>
  <r>
    <n v="14"/>
    <s v="CUST1088"/>
    <d v="2024-03-05T00:00:00"/>
    <x v="3"/>
    <x v="4"/>
    <x v="10"/>
    <n v="1"/>
    <n v="1073.71"/>
    <n v="1073.71"/>
    <s v="P011"/>
  </r>
  <r>
    <n v="15"/>
    <s v="CUST1033"/>
    <d v="2024-03-03T00:00:00"/>
    <x v="1"/>
    <x v="1"/>
    <x v="11"/>
    <n v="8"/>
    <n v="3672.14"/>
    <n v="29377.119999999999"/>
    <s v="P012"/>
  </r>
  <r>
    <n v="16"/>
    <s v="CUST1012"/>
    <d v="2024-09-17T00:00:00"/>
    <x v="2"/>
    <x v="2"/>
    <x v="12"/>
    <n v="7"/>
    <n v="4265.1899999999996"/>
    <n v="29856.33"/>
    <s v="P013"/>
  </r>
  <r>
    <n v="17"/>
    <s v="CUST1035"/>
    <d v="2024-02-02T00:00:00"/>
    <x v="0"/>
    <x v="0"/>
    <x v="0"/>
    <n v="8"/>
    <n v="1446.14"/>
    <n v="11569.12"/>
    <s v="P001"/>
  </r>
  <r>
    <n v="18"/>
    <s v="CUST1014"/>
    <d v="2024-08-14T00:00:00"/>
    <x v="3"/>
    <x v="1"/>
    <x v="11"/>
    <n v="5"/>
    <n v="2850.26"/>
    <n v="14251.3"/>
    <s v="P012"/>
  </r>
  <r>
    <n v="19"/>
    <s v="CUST1052"/>
    <d v="2024-10-09T00:00:00"/>
    <x v="3"/>
    <x v="2"/>
    <x v="5"/>
    <n v="3"/>
    <n v="254"/>
    <n v="762"/>
    <s v="P006"/>
  </r>
  <r>
    <n v="20"/>
    <s v="CUST1043"/>
    <d v="2024-04-05T00:00:00"/>
    <x v="0"/>
    <x v="0"/>
    <x v="0"/>
    <n v="7"/>
    <n v="2110.88"/>
    <n v="14776.16"/>
    <s v="P001"/>
  </r>
  <r>
    <n v="21"/>
    <s v="CUST1086"/>
    <d v="2024-01-29T00:00:00"/>
    <x v="0"/>
    <x v="0"/>
    <x v="13"/>
    <n v="7"/>
    <n v="1519.78"/>
    <n v="10638.46"/>
    <s v="P014"/>
  </r>
  <r>
    <n v="22"/>
    <s v="CUST1028"/>
    <d v="2024-10-10T00:00:00"/>
    <x v="2"/>
    <x v="2"/>
    <x v="12"/>
    <n v="9"/>
    <n v="616.91999999999996"/>
    <n v="5552.28"/>
    <s v="P013"/>
  </r>
  <r>
    <n v="23"/>
    <s v="CUST1062"/>
    <d v="2024-01-28T00:00:00"/>
    <x v="0"/>
    <x v="3"/>
    <x v="14"/>
    <n v="7"/>
    <n v="4490.8500000000004"/>
    <n v="31435.95"/>
    <s v="P015"/>
  </r>
  <r>
    <n v="24"/>
    <s v="CUST1003"/>
    <d v="2024-08-12T00:00:00"/>
    <x v="3"/>
    <x v="4"/>
    <x v="15"/>
    <n v="9"/>
    <n v="4108.2700000000004"/>
    <n v="36974.43"/>
    <s v="P016"/>
  </r>
  <r>
    <n v="25"/>
    <s v="CUST1044"/>
    <d v="2024-07-16T00:00:00"/>
    <x v="0"/>
    <x v="1"/>
    <x v="11"/>
    <n v="5"/>
    <n v="3492.94"/>
    <n v="17464.7"/>
    <s v="P012"/>
  </r>
  <r>
    <n v="26"/>
    <s v="CUST1062"/>
    <d v="2024-05-31T00:00:00"/>
    <x v="1"/>
    <x v="1"/>
    <x v="16"/>
    <n v="8"/>
    <n v="3544.79"/>
    <n v="28358.32"/>
    <s v="P017"/>
  </r>
  <r>
    <n v="27"/>
    <s v="CUST1056"/>
    <d v="2024-02-21T00:00:00"/>
    <x v="0"/>
    <x v="2"/>
    <x v="17"/>
    <n v="1"/>
    <n v="825.63"/>
    <n v="825.63"/>
    <s v="P018"/>
  </r>
  <r>
    <n v="28"/>
    <s v="CUST1087"/>
    <d v="2024-03-21T00:00:00"/>
    <x v="1"/>
    <x v="4"/>
    <x v="18"/>
    <n v="2"/>
    <n v="2114.08"/>
    <n v="4228.16"/>
    <s v="P019"/>
  </r>
  <r>
    <n v="29"/>
    <s v="CUST1090"/>
    <d v="2024-08-11T00:00:00"/>
    <x v="3"/>
    <x v="4"/>
    <x v="15"/>
    <n v="2"/>
    <n v="2701.58"/>
    <n v="5403.16"/>
    <s v="P016"/>
  </r>
  <r>
    <n v="30"/>
    <s v="CUST1038"/>
    <d v="2024-06-08T00:00:00"/>
    <x v="2"/>
    <x v="3"/>
    <x v="6"/>
    <n v="8"/>
    <n v="1264.42"/>
    <n v="10115.36"/>
    <s v="P007"/>
  </r>
  <r>
    <n v="31"/>
    <s v="CUST1016"/>
    <d v="2024-10-06T00:00:00"/>
    <x v="3"/>
    <x v="3"/>
    <x v="8"/>
    <n v="6"/>
    <n v="2054.2399999999998"/>
    <n v="12325.44"/>
    <s v="P009"/>
  </r>
  <r>
    <n v="32"/>
    <s v="CUST1003"/>
    <d v="2024-04-06T00:00:00"/>
    <x v="3"/>
    <x v="3"/>
    <x v="6"/>
    <n v="6"/>
    <n v="3509.48"/>
    <n v="21056.880000000001"/>
    <s v="P007"/>
  </r>
  <r>
    <n v="33"/>
    <s v="CUST1019"/>
    <d v="2024-05-27T00:00:00"/>
    <x v="0"/>
    <x v="1"/>
    <x v="1"/>
    <n v="3"/>
    <n v="3584.63"/>
    <n v="10753.89"/>
    <s v="P002"/>
  </r>
  <r>
    <n v="34"/>
    <s v="CUST1039"/>
    <d v="2024-05-27T00:00:00"/>
    <x v="0"/>
    <x v="3"/>
    <x v="9"/>
    <n v="1"/>
    <n v="2048.1"/>
    <n v="2048.1"/>
    <s v="P010"/>
  </r>
  <r>
    <n v="35"/>
    <s v="CUST1031"/>
    <d v="2024-05-08T00:00:00"/>
    <x v="1"/>
    <x v="3"/>
    <x v="9"/>
    <n v="9"/>
    <n v="1124.45"/>
    <n v="10120.049999999999"/>
    <s v="P010"/>
  </r>
  <r>
    <n v="36"/>
    <s v="CUST1002"/>
    <d v="2024-10-24T00:00:00"/>
    <x v="1"/>
    <x v="3"/>
    <x v="14"/>
    <n v="9"/>
    <n v="2631.52"/>
    <n v="23683.68"/>
    <s v="P015"/>
  </r>
  <r>
    <n v="37"/>
    <s v="CUST1099"/>
    <d v="2024-09-10T00:00:00"/>
    <x v="0"/>
    <x v="0"/>
    <x v="3"/>
    <n v="7"/>
    <n v="1761.25"/>
    <n v="12328.75"/>
    <s v="P004"/>
  </r>
  <r>
    <n v="38"/>
    <s v="CUST1033"/>
    <d v="2024-05-26T00:00:00"/>
    <x v="0"/>
    <x v="1"/>
    <x v="1"/>
    <n v="8"/>
    <n v="2082.09"/>
    <n v="16656.72"/>
    <s v="P002"/>
  </r>
  <r>
    <n v="39"/>
    <s v="CUST1084"/>
    <d v="2024-04-25T00:00:00"/>
    <x v="1"/>
    <x v="4"/>
    <x v="10"/>
    <n v="4"/>
    <n v="4502.92"/>
    <n v="18011.68"/>
    <s v="P011"/>
  </r>
  <r>
    <n v="40"/>
    <s v="CUST1082"/>
    <d v="2024-09-10T00:00:00"/>
    <x v="1"/>
    <x v="4"/>
    <x v="15"/>
    <n v="9"/>
    <n v="124.8"/>
    <n v="1123.2"/>
    <s v="P016"/>
  </r>
  <r>
    <n v="41"/>
    <s v="CUST1068"/>
    <d v="2024-07-12T00:00:00"/>
    <x v="2"/>
    <x v="1"/>
    <x v="1"/>
    <n v="9"/>
    <n v="962.03"/>
    <n v="8658.27"/>
    <s v="P002"/>
  </r>
  <r>
    <n v="42"/>
    <s v="CUST1008"/>
    <d v="2024-10-15T00:00:00"/>
    <x v="2"/>
    <x v="0"/>
    <x v="13"/>
    <n v="4"/>
    <n v="1895.7"/>
    <n v="7582.8"/>
    <s v="P014"/>
  </r>
  <r>
    <n v="43"/>
    <s v="CUST1059"/>
    <d v="2024-05-14T00:00:00"/>
    <x v="1"/>
    <x v="4"/>
    <x v="10"/>
    <n v="1"/>
    <n v="2758.45"/>
    <n v="2758.45"/>
    <s v="P011"/>
  </r>
  <r>
    <n v="44"/>
    <s v="CUST1027"/>
    <d v="2024-01-22T00:00:00"/>
    <x v="2"/>
    <x v="0"/>
    <x v="0"/>
    <n v="6"/>
    <n v="4539.88"/>
    <n v="27239.279999999999"/>
    <s v="P001"/>
  </r>
  <r>
    <n v="45"/>
    <s v="CUST1061"/>
    <d v="2024-08-13T00:00:00"/>
    <x v="3"/>
    <x v="4"/>
    <x v="10"/>
    <n v="1"/>
    <n v="1056.69"/>
    <n v="1056.69"/>
    <s v="P011"/>
  </r>
  <r>
    <n v="46"/>
    <s v="CUST1044"/>
    <d v="2024-05-26T00:00:00"/>
    <x v="0"/>
    <x v="1"/>
    <x v="1"/>
    <n v="1"/>
    <n v="313.66000000000003"/>
    <n v="313.66000000000003"/>
    <s v="P002"/>
  </r>
  <r>
    <n v="47"/>
    <s v="CUST1037"/>
    <d v="2024-08-07T00:00:00"/>
    <x v="2"/>
    <x v="0"/>
    <x v="2"/>
    <n v="5"/>
    <n v="4429.12"/>
    <n v="22145.599999999999"/>
    <s v="P003"/>
  </r>
  <r>
    <n v="48"/>
    <s v="CUST1060"/>
    <d v="2024-10-06T00:00:00"/>
    <x v="3"/>
    <x v="4"/>
    <x v="18"/>
    <n v="5"/>
    <n v="2904.23"/>
    <n v="14521.15"/>
    <s v="P019"/>
  </r>
  <r>
    <n v="49"/>
    <s v="CUST1067"/>
    <d v="2024-04-25T00:00:00"/>
    <x v="1"/>
    <x v="0"/>
    <x v="3"/>
    <n v="7"/>
    <n v="1415.53"/>
    <n v="9908.7099999999991"/>
    <s v="P004"/>
  </r>
  <r>
    <n v="50"/>
    <s v="CUST1046"/>
    <d v="2024-05-07T00:00:00"/>
    <x v="2"/>
    <x v="4"/>
    <x v="18"/>
    <n v="6"/>
    <n v="3510.55"/>
    <n v="21063.3"/>
    <s v="P019"/>
  </r>
  <r>
    <n v="51"/>
    <s v="CUST1033"/>
    <d v="2024-10-06T00:00:00"/>
    <x v="2"/>
    <x v="2"/>
    <x v="17"/>
    <n v="2"/>
    <n v="1680.5"/>
    <n v="3361"/>
    <s v="P018"/>
  </r>
  <r>
    <n v="52"/>
    <s v="CUST1050"/>
    <d v="2024-10-25T00:00:00"/>
    <x v="2"/>
    <x v="0"/>
    <x v="2"/>
    <n v="7"/>
    <n v="2156.9299999999998"/>
    <n v="15098.51"/>
    <s v="P003"/>
  </r>
  <r>
    <n v="53"/>
    <s v="CUST1020"/>
    <d v="2024-01-13T00:00:00"/>
    <x v="0"/>
    <x v="2"/>
    <x v="17"/>
    <n v="9"/>
    <n v="3176.68"/>
    <n v="28590.12"/>
    <s v="P018"/>
  </r>
  <r>
    <n v="54"/>
    <s v="CUST1098"/>
    <d v="2024-09-20T00:00:00"/>
    <x v="0"/>
    <x v="3"/>
    <x v="6"/>
    <n v="7"/>
    <n v="235.32"/>
    <n v="1647.24"/>
    <s v="P007"/>
  </r>
  <r>
    <n v="55"/>
    <s v="CUST1086"/>
    <d v="2024-10-14T00:00:00"/>
    <x v="1"/>
    <x v="1"/>
    <x v="11"/>
    <n v="6"/>
    <n v="2995.08"/>
    <n v="17970.48"/>
    <s v="P012"/>
  </r>
  <r>
    <n v="56"/>
    <s v="CUST1053"/>
    <d v="2024-06-28T00:00:00"/>
    <x v="2"/>
    <x v="1"/>
    <x v="1"/>
    <n v="5"/>
    <n v="2658.99"/>
    <n v="13294.95"/>
    <s v="P002"/>
  </r>
  <r>
    <n v="57"/>
    <s v="CUST1096"/>
    <d v="2024-02-29T00:00:00"/>
    <x v="0"/>
    <x v="3"/>
    <x v="9"/>
    <n v="7"/>
    <n v="518.20000000000005"/>
    <n v="3627.4"/>
    <s v="P010"/>
  </r>
  <r>
    <n v="58"/>
    <s v="CUST1030"/>
    <d v="2024-02-16T00:00:00"/>
    <x v="1"/>
    <x v="3"/>
    <x v="14"/>
    <n v="2"/>
    <n v="2629.87"/>
    <n v="5259.74"/>
    <s v="P015"/>
  </r>
  <r>
    <n v="59"/>
    <s v="CUST1090"/>
    <d v="2024-05-26T00:00:00"/>
    <x v="3"/>
    <x v="1"/>
    <x v="1"/>
    <n v="7"/>
    <n v="1329.22"/>
    <n v="9304.5400000000009"/>
    <s v="P002"/>
  </r>
  <r>
    <n v="60"/>
    <s v="CUST1001"/>
    <d v="2024-04-26T00:00:00"/>
    <x v="2"/>
    <x v="4"/>
    <x v="10"/>
    <n v="5"/>
    <n v="385.15"/>
    <n v="1925.75"/>
    <s v="P011"/>
  </r>
  <r>
    <n v="61"/>
    <s v="CUST1061"/>
    <d v="2024-08-26T00:00:00"/>
    <x v="2"/>
    <x v="4"/>
    <x v="10"/>
    <n v="5"/>
    <n v="3227.53"/>
    <n v="16137.65"/>
    <s v="P011"/>
  </r>
  <r>
    <n v="62"/>
    <s v="CUST1026"/>
    <d v="2024-07-10T00:00:00"/>
    <x v="1"/>
    <x v="0"/>
    <x v="2"/>
    <n v="7"/>
    <n v="333.81"/>
    <n v="2336.67"/>
    <s v="P003"/>
  </r>
  <r>
    <n v="63"/>
    <s v="CUST1092"/>
    <d v="2024-05-23T00:00:00"/>
    <x v="1"/>
    <x v="0"/>
    <x v="2"/>
    <n v="9"/>
    <n v="1775.21"/>
    <n v="15976.89"/>
    <s v="P003"/>
  </r>
  <r>
    <n v="64"/>
    <s v="CUST1016"/>
    <d v="2024-03-09T00:00:00"/>
    <x v="1"/>
    <x v="4"/>
    <x v="18"/>
    <n v="4"/>
    <n v="959.12"/>
    <n v="3836.48"/>
    <s v="P019"/>
  </r>
  <r>
    <n v="65"/>
    <s v="CUST1094"/>
    <d v="2024-08-05T00:00:00"/>
    <x v="2"/>
    <x v="0"/>
    <x v="0"/>
    <n v="4"/>
    <n v="948.69"/>
    <n v="3794.76"/>
    <s v="P001"/>
  </r>
  <r>
    <n v="66"/>
    <s v="CUST1052"/>
    <d v="2024-01-23T00:00:00"/>
    <x v="2"/>
    <x v="2"/>
    <x v="5"/>
    <n v="5"/>
    <n v="4444.7299999999996"/>
    <n v="22223.65"/>
    <s v="P006"/>
  </r>
  <r>
    <n v="67"/>
    <s v="CUST1004"/>
    <d v="2024-08-10T00:00:00"/>
    <x v="2"/>
    <x v="2"/>
    <x v="17"/>
    <n v="1"/>
    <n v="2742.95"/>
    <n v="2742.95"/>
    <s v="P018"/>
  </r>
  <r>
    <n v="68"/>
    <s v="CUST1050"/>
    <d v="2024-01-16T00:00:00"/>
    <x v="0"/>
    <x v="2"/>
    <x v="12"/>
    <n v="4"/>
    <n v="2919.82"/>
    <n v="11679.28"/>
    <s v="P013"/>
  </r>
  <r>
    <n v="69"/>
    <s v="CUST1012"/>
    <d v="2024-06-11T00:00:00"/>
    <x v="0"/>
    <x v="4"/>
    <x v="19"/>
    <n v="3"/>
    <n v="4121.13"/>
    <n v="12363.39"/>
    <s v="P020"/>
  </r>
  <r>
    <n v="70"/>
    <s v="CUST1035"/>
    <d v="2024-03-05T00:00:00"/>
    <x v="3"/>
    <x v="2"/>
    <x v="17"/>
    <n v="2"/>
    <n v="290.92"/>
    <n v="581.84"/>
    <s v="P018"/>
  </r>
  <r>
    <n v="71"/>
    <s v="CUST1007"/>
    <d v="2024-08-02T00:00:00"/>
    <x v="3"/>
    <x v="2"/>
    <x v="7"/>
    <n v="2"/>
    <n v="1377.4"/>
    <n v="2754.8"/>
    <s v="P008"/>
  </r>
  <r>
    <n v="72"/>
    <s v="CUST1021"/>
    <d v="2024-07-14T00:00:00"/>
    <x v="2"/>
    <x v="0"/>
    <x v="2"/>
    <n v="8"/>
    <n v="3701.85"/>
    <n v="29614.799999999999"/>
    <s v="P003"/>
  </r>
  <r>
    <n v="73"/>
    <s v="CUST1099"/>
    <d v="2024-09-05T00:00:00"/>
    <x v="0"/>
    <x v="2"/>
    <x v="12"/>
    <n v="9"/>
    <n v="2885.75"/>
    <n v="25971.75"/>
    <s v="P013"/>
  </r>
  <r>
    <n v="74"/>
    <s v="CUST1024"/>
    <d v="2024-06-25T00:00:00"/>
    <x v="1"/>
    <x v="3"/>
    <x v="8"/>
    <n v="1"/>
    <n v="3904.42"/>
    <n v="3904.42"/>
    <s v="P009"/>
  </r>
  <r>
    <n v="75"/>
    <s v="CUST1023"/>
    <d v="2024-05-30T00:00:00"/>
    <x v="2"/>
    <x v="0"/>
    <x v="13"/>
    <n v="1"/>
    <n v="3431.24"/>
    <n v="3431.24"/>
    <s v="P014"/>
  </r>
  <r>
    <n v="76"/>
    <s v="CUST1084"/>
    <d v="2024-08-04T00:00:00"/>
    <x v="1"/>
    <x v="4"/>
    <x v="18"/>
    <n v="1"/>
    <n v="2718.2"/>
    <n v="2718.2"/>
    <s v="P019"/>
  </r>
  <r>
    <n v="77"/>
    <s v="CUST1012"/>
    <d v="2024-08-04T00:00:00"/>
    <x v="2"/>
    <x v="0"/>
    <x v="0"/>
    <n v="3"/>
    <n v="2007.09"/>
    <n v="6021.27"/>
    <s v="P001"/>
  </r>
  <r>
    <n v="78"/>
    <s v="CUST1095"/>
    <d v="2024-08-20T00:00:00"/>
    <x v="1"/>
    <x v="3"/>
    <x v="9"/>
    <n v="7"/>
    <n v="4788.32"/>
    <n v="33518.239999999998"/>
    <s v="P010"/>
  </r>
  <r>
    <n v="79"/>
    <s v="CUST1012"/>
    <d v="2024-02-21T00:00:00"/>
    <x v="1"/>
    <x v="2"/>
    <x v="17"/>
    <n v="5"/>
    <n v="549.35"/>
    <n v="2746.75"/>
    <s v="P018"/>
  </r>
  <r>
    <n v="80"/>
    <s v="CUST1016"/>
    <d v="2024-01-25T00:00:00"/>
    <x v="0"/>
    <x v="1"/>
    <x v="11"/>
    <n v="4"/>
    <n v="4736.3500000000004"/>
    <n v="18945.400000000001"/>
    <s v="P012"/>
  </r>
  <r>
    <n v="81"/>
    <s v="CUST1005"/>
    <d v="2024-02-26T00:00:00"/>
    <x v="1"/>
    <x v="0"/>
    <x v="3"/>
    <n v="7"/>
    <n v="4980.0600000000004"/>
    <n v="34860.42"/>
    <s v="P004"/>
  </r>
  <r>
    <n v="82"/>
    <s v="CUST1009"/>
    <d v="2024-06-11T00:00:00"/>
    <x v="1"/>
    <x v="0"/>
    <x v="0"/>
    <n v="2"/>
    <n v="4846.3900000000003"/>
    <n v="9692.7800000000007"/>
    <s v="P001"/>
  </r>
  <r>
    <n v="83"/>
    <s v="CUST1013"/>
    <d v="2024-03-14T00:00:00"/>
    <x v="2"/>
    <x v="3"/>
    <x v="9"/>
    <n v="6"/>
    <n v="512.12"/>
    <n v="3072.72"/>
    <s v="P010"/>
  </r>
  <r>
    <n v="84"/>
    <s v="CUST1037"/>
    <d v="2024-06-16T00:00:00"/>
    <x v="2"/>
    <x v="4"/>
    <x v="18"/>
    <n v="2"/>
    <n v="498.61"/>
    <n v="997.22"/>
    <s v="P019"/>
  </r>
  <r>
    <n v="85"/>
    <s v="CUST1071"/>
    <d v="2024-05-15T00:00:00"/>
    <x v="0"/>
    <x v="0"/>
    <x v="3"/>
    <n v="6"/>
    <n v="4082.72"/>
    <n v="24496.32"/>
    <s v="P004"/>
  </r>
  <r>
    <n v="86"/>
    <s v="CUST1019"/>
    <d v="2024-08-04T00:00:00"/>
    <x v="3"/>
    <x v="3"/>
    <x v="14"/>
    <n v="6"/>
    <n v="3570.09"/>
    <n v="21420.54"/>
    <s v="P015"/>
  </r>
  <r>
    <n v="87"/>
    <s v="CUST1067"/>
    <d v="2024-06-30T00:00:00"/>
    <x v="1"/>
    <x v="1"/>
    <x v="16"/>
    <n v="3"/>
    <n v="644.87"/>
    <n v="1934.61"/>
    <s v="P017"/>
  </r>
  <r>
    <n v="88"/>
    <s v="CUST1061"/>
    <d v="2024-06-21T00:00:00"/>
    <x v="3"/>
    <x v="2"/>
    <x v="7"/>
    <n v="4"/>
    <n v="682.21"/>
    <n v="2728.84"/>
    <s v="P008"/>
  </r>
  <r>
    <n v="89"/>
    <s v="CUST1025"/>
    <d v="2024-01-01T00:00:00"/>
    <x v="1"/>
    <x v="0"/>
    <x v="13"/>
    <n v="9"/>
    <n v="1936.87"/>
    <n v="17431.830000000002"/>
    <s v="P014"/>
  </r>
  <r>
    <n v="90"/>
    <s v="CUST1085"/>
    <d v="2024-04-26T00:00:00"/>
    <x v="2"/>
    <x v="2"/>
    <x v="7"/>
    <n v="5"/>
    <n v="312.66000000000003"/>
    <n v="1563.3"/>
    <s v="P008"/>
  </r>
  <r>
    <n v="91"/>
    <s v="CUST1057"/>
    <d v="2024-07-21T00:00:00"/>
    <x v="0"/>
    <x v="0"/>
    <x v="13"/>
    <n v="3"/>
    <n v="3507.51"/>
    <n v="10522.53"/>
    <s v="P014"/>
  </r>
  <r>
    <n v="92"/>
    <s v="CUST1003"/>
    <d v="2024-02-16T00:00:00"/>
    <x v="3"/>
    <x v="4"/>
    <x v="18"/>
    <n v="1"/>
    <n v="3175.03"/>
    <n v="3175.03"/>
    <s v="P019"/>
  </r>
  <r>
    <n v="93"/>
    <s v="CUST1024"/>
    <d v="2024-05-23T00:00:00"/>
    <x v="1"/>
    <x v="4"/>
    <x v="15"/>
    <n v="8"/>
    <n v="2033.16"/>
    <n v="16265.28"/>
    <s v="P016"/>
  </r>
  <r>
    <n v="94"/>
    <s v="CUST1058"/>
    <d v="2024-06-04T00:00:00"/>
    <x v="3"/>
    <x v="2"/>
    <x v="7"/>
    <n v="4"/>
    <n v="2372.12"/>
    <n v="9488.48"/>
    <s v="P008"/>
  </r>
  <r>
    <n v="95"/>
    <s v="CUST1027"/>
    <d v="2024-06-26T00:00:00"/>
    <x v="0"/>
    <x v="3"/>
    <x v="9"/>
    <n v="9"/>
    <n v="1373.75"/>
    <n v="12363.75"/>
    <s v="P010"/>
  </r>
  <r>
    <n v="96"/>
    <s v="CUST1029"/>
    <d v="2024-05-24T00:00:00"/>
    <x v="3"/>
    <x v="4"/>
    <x v="19"/>
    <n v="4"/>
    <n v="3053.63"/>
    <n v="12214.52"/>
    <s v="P020"/>
  </r>
  <r>
    <n v="97"/>
    <s v="CUST1069"/>
    <d v="2024-02-15T00:00:00"/>
    <x v="1"/>
    <x v="0"/>
    <x v="2"/>
    <n v="2"/>
    <n v="2141.5300000000002"/>
    <n v="4283.0600000000004"/>
    <s v="P003"/>
  </r>
  <r>
    <n v="98"/>
    <s v="CUST1033"/>
    <d v="2024-01-10T00:00:00"/>
    <x v="0"/>
    <x v="2"/>
    <x v="17"/>
    <n v="5"/>
    <n v="229.2"/>
    <n v="1146"/>
    <s v="P018"/>
  </r>
  <r>
    <n v="99"/>
    <s v="CUST1089"/>
    <d v="2024-03-05T00:00:00"/>
    <x v="2"/>
    <x v="4"/>
    <x v="15"/>
    <n v="5"/>
    <n v="3772.93"/>
    <n v="18864.650000000001"/>
    <s v="P016"/>
  </r>
  <r>
    <n v="100"/>
    <s v="CUST1001"/>
    <d v="2024-10-09T00:00:00"/>
    <x v="3"/>
    <x v="0"/>
    <x v="3"/>
    <n v="2"/>
    <n v="280.43"/>
    <n v="560.86"/>
    <s v="P004"/>
  </r>
  <r>
    <n v="101"/>
    <s v="CUST1053"/>
    <d v="2024-01-06T00:00:00"/>
    <x v="0"/>
    <x v="4"/>
    <x v="19"/>
    <n v="5"/>
    <n v="4983.5200000000004"/>
    <n v="24917.599999999999"/>
    <s v="P020"/>
  </r>
  <r>
    <n v="102"/>
    <s v="CUST1078"/>
    <d v="2024-01-23T00:00:00"/>
    <x v="3"/>
    <x v="0"/>
    <x v="3"/>
    <n v="3"/>
    <n v="1312.01"/>
    <n v="3936.03"/>
    <s v="P004"/>
  </r>
  <r>
    <n v="103"/>
    <s v="CUST1032"/>
    <d v="2024-01-01T00:00:00"/>
    <x v="1"/>
    <x v="0"/>
    <x v="3"/>
    <n v="4"/>
    <n v="1220.3499999999999"/>
    <n v="4881.3999999999996"/>
    <s v="P004"/>
  </r>
  <r>
    <n v="104"/>
    <s v="CUST1003"/>
    <d v="2024-02-03T00:00:00"/>
    <x v="0"/>
    <x v="2"/>
    <x v="5"/>
    <n v="2"/>
    <n v="2433.4299999999998"/>
    <n v="4866.8599999999997"/>
    <s v="P006"/>
  </r>
  <r>
    <n v="105"/>
    <s v="CUST1047"/>
    <d v="2024-09-24T00:00:00"/>
    <x v="3"/>
    <x v="3"/>
    <x v="9"/>
    <n v="9"/>
    <n v="2990.78"/>
    <n v="26917.02"/>
    <s v="P010"/>
  </r>
  <r>
    <n v="106"/>
    <s v="CUST1038"/>
    <d v="2024-07-25T00:00:00"/>
    <x v="3"/>
    <x v="0"/>
    <x v="2"/>
    <n v="2"/>
    <n v="4044.72"/>
    <n v="8089.44"/>
    <s v="P003"/>
  </r>
  <r>
    <n v="107"/>
    <s v="CUST1030"/>
    <d v="2024-07-10T00:00:00"/>
    <x v="0"/>
    <x v="2"/>
    <x v="5"/>
    <n v="2"/>
    <n v="2990.6"/>
    <n v="5981.2"/>
    <s v="P006"/>
  </r>
  <r>
    <n v="108"/>
    <s v="CUST1081"/>
    <d v="2024-09-05T00:00:00"/>
    <x v="2"/>
    <x v="4"/>
    <x v="10"/>
    <n v="7"/>
    <n v="2665.65"/>
    <n v="18659.55"/>
    <s v="P011"/>
  </r>
  <r>
    <n v="109"/>
    <s v="CUST1017"/>
    <d v="2024-05-12T00:00:00"/>
    <x v="3"/>
    <x v="3"/>
    <x v="8"/>
    <n v="8"/>
    <n v="4226.25"/>
    <n v="33810"/>
    <s v="P009"/>
  </r>
  <r>
    <n v="110"/>
    <s v="CUST1023"/>
    <d v="2024-03-09T00:00:00"/>
    <x v="2"/>
    <x v="0"/>
    <x v="2"/>
    <n v="3"/>
    <n v="2732.59"/>
    <n v="8197.77"/>
    <s v="P003"/>
  </r>
  <r>
    <n v="111"/>
    <s v="CUST1004"/>
    <d v="2024-07-01T00:00:00"/>
    <x v="0"/>
    <x v="1"/>
    <x v="16"/>
    <n v="8"/>
    <n v="982.33"/>
    <n v="7858.64"/>
    <s v="P017"/>
  </r>
  <r>
    <n v="112"/>
    <s v="CUST1032"/>
    <d v="2024-07-02T00:00:00"/>
    <x v="3"/>
    <x v="1"/>
    <x v="1"/>
    <n v="3"/>
    <n v="2624.66"/>
    <n v="7873.98"/>
    <s v="P002"/>
  </r>
  <r>
    <n v="113"/>
    <s v="CUST1092"/>
    <d v="2024-03-01T00:00:00"/>
    <x v="2"/>
    <x v="1"/>
    <x v="4"/>
    <n v="5"/>
    <n v="927.78"/>
    <n v="4638.8999999999996"/>
    <s v="P005"/>
  </r>
  <r>
    <n v="114"/>
    <s v="CUST1012"/>
    <d v="2024-06-18T00:00:00"/>
    <x v="3"/>
    <x v="0"/>
    <x v="2"/>
    <n v="1"/>
    <n v="2718.68"/>
    <n v="2718.68"/>
    <s v="P003"/>
  </r>
  <r>
    <n v="115"/>
    <s v="CUST1047"/>
    <d v="2024-02-15T00:00:00"/>
    <x v="2"/>
    <x v="4"/>
    <x v="18"/>
    <n v="9"/>
    <n v="552.22"/>
    <n v="4969.9799999999996"/>
    <s v="P019"/>
  </r>
  <r>
    <n v="116"/>
    <s v="CUST1001"/>
    <d v="2024-04-30T00:00:00"/>
    <x v="2"/>
    <x v="1"/>
    <x v="4"/>
    <n v="1"/>
    <n v="1456.7"/>
    <n v="1456.7"/>
    <s v="P005"/>
  </r>
  <r>
    <n v="117"/>
    <s v="CUST1056"/>
    <d v="2024-01-08T00:00:00"/>
    <x v="3"/>
    <x v="1"/>
    <x v="11"/>
    <n v="4"/>
    <n v="1125.81"/>
    <n v="4503.24"/>
    <s v="P012"/>
  </r>
  <r>
    <n v="118"/>
    <s v="CUST1002"/>
    <d v="2024-08-01T00:00:00"/>
    <x v="2"/>
    <x v="2"/>
    <x v="7"/>
    <n v="7"/>
    <n v="2703.2"/>
    <n v="18922.400000000001"/>
    <s v="P008"/>
  </r>
  <r>
    <n v="119"/>
    <s v="CUST1023"/>
    <d v="2024-06-02T00:00:00"/>
    <x v="2"/>
    <x v="1"/>
    <x v="1"/>
    <n v="3"/>
    <n v="3595.41"/>
    <n v="10786.23"/>
    <s v="P002"/>
  </r>
  <r>
    <n v="120"/>
    <s v="CUST1099"/>
    <d v="2024-08-25T00:00:00"/>
    <x v="1"/>
    <x v="3"/>
    <x v="9"/>
    <n v="2"/>
    <n v="2292.3200000000002"/>
    <n v="4584.6400000000003"/>
    <s v="P010"/>
  </r>
  <r>
    <n v="121"/>
    <s v="CUST1039"/>
    <d v="2024-01-15T00:00:00"/>
    <x v="0"/>
    <x v="4"/>
    <x v="15"/>
    <n v="5"/>
    <n v="993.19"/>
    <n v="4965.95"/>
    <s v="P016"/>
  </r>
  <r>
    <n v="122"/>
    <s v="CUST1084"/>
    <d v="2024-09-29T00:00:00"/>
    <x v="1"/>
    <x v="2"/>
    <x v="5"/>
    <n v="9"/>
    <n v="4463.58"/>
    <n v="40172.22"/>
    <s v="P006"/>
  </r>
  <r>
    <n v="123"/>
    <s v="CUST1100"/>
    <d v="2024-01-25T00:00:00"/>
    <x v="0"/>
    <x v="2"/>
    <x v="17"/>
    <n v="9"/>
    <n v="2542.37"/>
    <n v="22881.33"/>
    <s v="P018"/>
  </r>
  <r>
    <n v="124"/>
    <s v="CUST1083"/>
    <d v="2024-04-20T00:00:00"/>
    <x v="2"/>
    <x v="2"/>
    <x v="17"/>
    <n v="8"/>
    <n v="2974.02"/>
    <n v="23792.16"/>
    <s v="P018"/>
  </r>
  <r>
    <n v="125"/>
    <s v="CUST1098"/>
    <d v="2024-02-11T00:00:00"/>
    <x v="3"/>
    <x v="0"/>
    <x v="2"/>
    <n v="4"/>
    <n v="3264.99"/>
    <n v="13059.96"/>
    <s v="P003"/>
  </r>
  <r>
    <n v="126"/>
    <s v="CUST1070"/>
    <d v="2024-08-16T00:00:00"/>
    <x v="3"/>
    <x v="4"/>
    <x v="19"/>
    <n v="6"/>
    <n v="1204.1300000000001"/>
    <n v="7224.78"/>
    <s v="P020"/>
  </r>
  <r>
    <n v="127"/>
    <s v="CUST1003"/>
    <d v="2024-04-21T00:00:00"/>
    <x v="0"/>
    <x v="1"/>
    <x v="16"/>
    <n v="8"/>
    <n v="4494.1499999999996"/>
    <n v="35953.199999999997"/>
    <s v="P017"/>
  </r>
  <r>
    <n v="128"/>
    <s v="CUST1066"/>
    <d v="2024-08-30T00:00:00"/>
    <x v="1"/>
    <x v="0"/>
    <x v="13"/>
    <n v="8"/>
    <n v="648.99"/>
    <n v="5191.92"/>
    <s v="P014"/>
  </r>
  <r>
    <n v="129"/>
    <s v="CUST1094"/>
    <d v="2024-08-07T00:00:00"/>
    <x v="1"/>
    <x v="3"/>
    <x v="6"/>
    <n v="6"/>
    <n v="4877.83"/>
    <n v="29266.98"/>
    <s v="P007"/>
  </r>
  <r>
    <n v="130"/>
    <s v="CUST1045"/>
    <d v="2024-03-02T00:00:00"/>
    <x v="3"/>
    <x v="2"/>
    <x v="17"/>
    <n v="8"/>
    <n v="2435.44"/>
    <n v="19483.52"/>
    <s v="P018"/>
  </r>
  <r>
    <n v="131"/>
    <s v="CUST1097"/>
    <d v="2024-10-26T00:00:00"/>
    <x v="3"/>
    <x v="2"/>
    <x v="5"/>
    <n v="4"/>
    <n v="2184.64"/>
    <n v="8738.56"/>
    <s v="P006"/>
  </r>
  <r>
    <n v="132"/>
    <s v="CUST1064"/>
    <d v="2024-01-20T00:00:00"/>
    <x v="3"/>
    <x v="3"/>
    <x v="6"/>
    <n v="1"/>
    <n v="3092.04"/>
    <n v="3092.04"/>
    <s v="P007"/>
  </r>
  <r>
    <n v="133"/>
    <s v="CUST1003"/>
    <d v="2024-02-07T00:00:00"/>
    <x v="3"/>
    <x v="1"/>
    <x v="4"/>
    <n v="4"/>
    <n v="1671.15"/>
    <n v="6684.6"/>
    <s v="P005"/>
  </r>
  <r>
    <n v="134"/>
    <s v="CUST1044"/>
    <d v="2024-06-09T00:00:00"/>
    <x v="2"/>
    <x v="2"/>
    <x v="7"/>
    <n v="5"/>
    <n v="410.54"/>
    <n v="2052.6999999999998"/>
    <s v="P008"/>
  </r>
  <r>
    <n v="135"/>
    <s v="CUST1073"/>
    <d v="2024-01-13T00:00:00"/>
    <x v="0"/>
    <x v="2"/>
    <x v="7"/>
    <n v="1"/>
    <n v="780.24"/>
    <n v="780.24"/>
    <s v="P008"/>
  </r>
  <r>
    <n v="136"/>
    <s v="CUST1035"/>
    <d v="2024-09-29T00:00:00"/>
    <x v="3"/>
    <x v="1"/>
    <x v="4"/>
    <n v="8"/>
    <n v="3069.9"/>
    <n v="24559.200000000001"/>
    <s v="P005"/>
  </r>
  <r>
    <n v="137"/>
    <s v="CUST1075"/>
    <d v="2024-04-03T00:00:00"/>
    <x v="1"/>
    <x v="4"/>
    <x v="19"/>
    <n v="2"/>
    <n v="709.06"/>
    <n v="1418.12"/>
    <s v="P020"/>
  </r>
  <r>
    <n v="138"/>
    <s v="CUST1064"/>
    <d v="2024-05-16T00:00:00"/>
    <x v="2"/>
    <x v="3"/>
    <x v="6"/>
    <n v="3"/>
    <n v="4639.6000000000004"/>
    <n v="13918.8"/>
    <s v="P007"/>
  </r>
  <r>
    <n v="139"/>
    <s v="CUST1060"/>
    <d v="2024-02-29T00:00:00"/>
    <x v="0"/>
    <x v="0"/>
    <x v="13"/>
    <n v="9"/>
    <n v="3777.46"/>
    <n v="33997.14"/>
    <s v="P014"/>
  </r>
  <r>
    <n v="140"/>
    <s v="CUST1078"/>
    <d v="2024-10-12T00:00:00"/>
    <x v="1"/>
    <x v="0"/>
    <x v="3"/>
    <n v="5"/>
    <n v="1254.8900000000001"/>
    <n v="6274.45"/>
    <s v="P004"/>
  </r>
  <r>
    <n v="141"/>
    <s v="CUST1072"/>
    <d v="2024-03-02T00:00:00"/>
    <x v="0"/>
    <x v="4"/>
    <x v="19"/>
    <n v="9"/>
    <n v="3446.61"/>
    <n v="31019.49"/>
    <s v="P020"/>
  </r>
  <r>
    <n v="142"/>
    <s v="CUST1063"/>
    <d v="2024-10-21T00:00:00"/>
    <x v="0"/>
    <x v="1"/>
    <x v="11"/>
    <n v="6"/>
    <n v="2744.93"/>
    <n v="16469.580000000002"/>
    <s v="P012"/>
  </r>
  <r>
    <n v="143"/>
    <s v="CUST1066"/>
    <d v="2024-05-22T00:00:00"/>
    <x v="3"/>
    <x v="4"/>
    <x v="19"/>
    <n v="1"/>
    <n v="2018.26"/>
    <n v="2018.26"/>
    <s v="P020"/>
  </r>
  <r>
    <n v="144"/>
    <s v="CUST1067"/>
    <d v="2024-04-13T00:00:00"/>
    <x v="0"/>
    <x v="1"/>
    <x v="4"/>
    <n v="3"/>
    <n v="2214.4899999999998"/>
    <n v="6643.47"/>
    <s v="P005"/>
  </r>
  <r>
    <n v="145"/>
    <s v="CUST1029"/>
    <d v="2024-06-27T00:00:00"/>
    <x v="0"/>
    <x v="2"/>
    <x v="7"/>
    <n v="4"/>
    <n v="3990.72"/>
    <n v="15962.88"/>
    <s v="P008"/>
  </r>
  <r>
    <n v="146"/>
    <s v="CUST1027"/>
    <d v="2024-10-15T00:00:00"/>
    <x v="0"/>
    <x v="1"/>
    <x v="1"/>
    <n v="6"/>
    <n v="3786.78"/>
    <n v="22720.68"/>
    <s v="P002"/>
  </r>
  <r>
    <n v="147"/>
    <s v="CUST1074"/>
    <d v="2024-10-15T00:00:00"/>
    <x v="2"/>
    <x v="3"/>
    <x v="8"/>
    <n v="2"/>
    <n v="3836.05"/>
    <n v="7672.1"/>
    <s v="P009"/>
  </r>
  <r>
    <n v="148"/>
    <s v="CUST1052"/>
    <d v="2024-04-27T00:00:00"/>
    <x v="2"/>
    <x v="0"/>
    <x v="0"/>
    <n v="4"/>
    <n v="2339.3000000000002"/>
    <n v="9357.2000000000007"/>
    <s v="P001"/>
  </r>
  <r>
    <n v="149"/>
    <s v="CUST1068"/>
    <d v="2024-07-02T00:00:00"/>
    <x v="1"/>
    <x v="0"/>
    <x v="13"/>
    <n v="5"/>
    <n v="2483.15"/>
    <n v="12415.75"/>
    <s v="P014"/>
  </r>
  <r>
    <n v="150"/>
    <s v="CUST1036"/>
    <d v="2024-06-21T00:00:00"/>
    <x v="2"/>
    <x v="1"/>
    <x v="4"/>
    <n v="3"/>
    <n v="3500.35"/>
    <n v="10501.05"/>
    <s v="P005"/>
  </r>
  <r>
    <n v="151"/>
    <s v="CUST1074"/>
    <d v="2024-10-08T00:00:00"/>
    <x v="1"/>
    <x v="1"/>
    <x v="11"/>
    <n v="4"/>
    <n v="989.83"/>
    <n v="3959.32"/>
    <s v="P012"/>
  </r>
  <r>
    <n v="152"/>
    <s v="CUST1089"/>
    <d v="2024-02-07T00:00:00"/>
    <x v="2"/>
    <x v="2"/>
    <x v="5"/>
    <n v="8"/>
    <n v="2578.85"/>
    <n v="20630.8"/>
    <s v="P006"/>
  </r>
  <r>
    <n v="153"/>
    <s v="CUST1005"/>
    <d v="2024-04-20T00:00:00"/>
    <x v="0"/>
    <x v="3"/>
    <x v="6"/>
    <n v="4"/>
    <n v="4601.88"/>
    <n v="18407.52"/>
    <s v="P007"/>
  </r>
  <r>
    <n v="154"/>
    <s v="CUST1029"/>
    <d v="2024-10-19T00:00:00"/>
    <x v="0"/>
    <x v="2"/>
    <x v="12"/>
    <n v="9"/>
    <n v="2178.2399999999998"/>
    <n v="19604.16"/>
    <s v="P013"/>
  </r>
  <r>
    <n v="155"/>
    <s v="CUST1021"/>
    <d v="2024-10-22T00:00:00"/>
    <x v="3"/>
    <x v="1"/>
    <x v="4"/>
    <n v="1"/>
    <n v="654.87"/>
    <n v="654.87"/>
    <s v="P005"/>
  </r>
  <r>
    <n v="156"/>
    <s v="CUST1040"/>
    <d v="2024-04-19T00:00:00"/>
    <x v="0"/>
    <x v="4"/>
    <x v="19"/>
    <n v="6"/>
    <n v="2642.31"/>
    <n v="15853.86"/>
    <s v="P020"/>
  </r>
  <r>
    <n v="157"/>
    <s v="CUST1057"/>
    <d v="2024-05-28T00:00:00"/>
    <x v="1"/>
    <x v="4"/>
    <x v="19"/>
    <n v="9"/>
    <n v="1107.3399999999999"/>
    <n v="9966.06"/>
    <s v="P020"/>
  </r>
  <r>
    <n v="158"/>
    <s v="CUST1075"/>
    <d v="2024-04-26T00:00:00"/>
    <x v="2"/>
    <x v="4"/>
    <x v="15"/>
    <n v="4"/>
    <n v="2733.24"/>
    <n v="10932.96"/>
    <s v="P016"/>
  </r>
  <r>
    <n v="159"/>
    <s v="CUST1043"/>
    <d v="2024-10-20T00:00:00"/>
    <x v="2"/>
    <x v="2"/>
    <x v="17"/>
    <n v="2"/>
    <n v="4600.43"/>
    <n v="9200.86"/>
    <s v="P018"/>
  </r>
  <r>
    <n v="160"/>
    <s v="CUST1088"/>
    <d v="2024-09-07T00:00:00"/>
    <x v="1"/>
    <x v="4"/>
    <x v="15"/>
    <n v="4"/>
    <n v="2152.73"/>
    <n v="8610.92"/>
    <s v="P016"/>
  </r>
  <r>
    <n v="161"/>
    <s v="CUST1085"/>
    <d v="2024-06-09T00:00:00"/>
    <x v="3"/>
    <x v="0"/>
    <x v="0"/>
    <n v="6"/>
    <n v="1178.48"/>
    <n v="7070.88"/>
    <s v="P001"/>
  </r>
  <r>
    <n v="162"/>
    <s v="CUST1086"/>
    <d v="2024-02-18T00:00:00"/>
    <x v="1"/>
    <x v="4"/>
    <x v="10"/>
    <n v="9"/>
    <n v="828.45"/>
    <n v="7456.05"/>
    <s v="P011"/>
  </r>
  <r>
    <n v="163"/>
    <s v="CUST1094"/>
    <d v="2024-03-03T00:00:00"/>
    <x v="3"/>
    <x v="4"/>
    <x v="15"/>
    <n v="1"/>
    <n v="1618.69"/>
    <n v="1618.69"/>
    <s v="P016"/>
  </r>
  <r>
    <n v="164"/>
    <s v="CUST1030"/>
    <d v="2024-08-02T00:00:00"/>
    <x v="1"/>
    <x v="1"/>
    <x v="1"/>
    <n v="3"/>
    <n v="1812"/>
    <n v="5436"/>
    <s v="P002"/>
  </r>
  <r>
    <n v="165"/>
    <s v="CUST1001"/>
    <d v="2024-10-11T00:00:00"/>
    <x v="3"/>
    <x v="0"/>
    <x v="3"/>
    <n v="8"/>
    <n v="2978.52"/>
    <n v="23828.16"/>
    <s v="P004"/>
  </r>
  <r>
    <n v="166"/>
    <s v="CUST1094"/>
    <d v="2024-03-18T00:00:00"/>
    <x v="1"/>
    <x v="2"/>
    <x v="5"/>
    <n v="6"/>
    <n v="2259.7399999999998"/>
    <n v="13558.44"/>
    <s v="P006"/>
  </r>
  <r>
    <n v="167"/>
    <s v="CUST1003"/>
    <d v="2024-06-14T00:00:00"/>
    <x v="1"/>
    <x v="3"/>
    <x v="9"/>
    <n v="8"/>
    <n v="4322.75"/>
    <n v="34582"/>
    <s v="P010"/>
  </r>
  <r>
    <n v="168"/>
    <s v="CUST1087"/>
    <d v="2024-10-14T00:00:00"/>
    <x v="2"/>
    <x v="2"/>
    <x v="17"/>
    <n v="2"/>
    <n v="2102.8000000000002"/>
    <n v="4205.6000000000004"/>
    <s v="P018"/>
  </r>
  <r>
    <n v="169"/>
    <s v="CUST1067"/>
    <d v="2024-02-24T00:00:00"/>
    <x v="0"/>
    <x v="2"/>
    <x v="17"/>
    <n v="8"/>
    <n v="232.77"/>
    <n v="1862.16"/>
    <s v="P018"/>
  </r>
  <r>
    <n v="170"/>
    <s v="CUST1097"/>
    <d v="2024-09-11T00:00:00"/>
    <x v="3"/>
    <x v="4"/>
    <x v="15"/>
    <n v="5"/>
    <n v="974.87"/>
    <n v="4874.3500000000004"/>
    <s v="P016"/>
  </r>
  <r>
    <n v="171"/>
    <s v="CUST1046"/>
    <d v="2024-04-01T00:00:00"/>
    <x v="1"/>
    <x v="2"/>
    <x v="17"/>
    <n v="8"/>
    <n v="3639.11"/>
    <n v="29112.880000000001"/>
    <s v="P018"/>
  </r>
  <r>
    <n v="172"/>
    <s v="CUST1007"/>
    <d v="2024-06-13T00:00:00"/>
    <x v="2"/>
    <x v="0"/>
    <x v="2"/>
    <n v="7"/>
    <n v="4492.05"/>
    <n v="31444.35"/>
    <s v="P003"/>
  </r>
  <r>
    <n v="173"/>
    <s v="CUST1060"/>
    <d v="2024-09-19T00:00:00"/>
    <x v="3"/>
    <x v="0"/>
    <x v="0"/>
    <n v="3"/>
    <n v="2956.9"/>
    <n v="8870.7000000000007"/>
    <s v="P001"/>
  </r>
  <r>
    <n v="174"/>
    <s v="CUST1002"/>
    <d v="2024-03-22T00:00:00"/>
    <x v="2"/>
    <x v="4"/>
    <x v="15"/>
    <n v="5"/>
    <n v="1774.91"/>
    <n v="8874.5499999999993"/>
    <s v="P016"/>
  </r>
  <r>
    <n v="175"/>
    <s v="CUST1094"/>
    <d v="2024-07-13T00:00:00"/>
    <x v="1"/>
    <x v="3"/>
    <x v="14"/>
    <n v="5"/>
    <n v="1791.44"/>
    <n v="8957.2000000000007"/>
    <s v="P015"/>
  </r>
  <r>
    <n v="176"/>
    <s v="CUST1024"/>
    <d v="2024-08-13T00:00:00"/>
    <x v="3"/>
    <x v="3"/>
    <x v="6"/>
    <n v="4"/>
    <n v="4875.28"/>
    <n v="19501.12"/>
    <s v="P007"/>
  </r>
  <r>
    <n v="177"/>
    <s v="CUST1081"/>
    <d v="2024-03-21T00:00:00"/>
    <x v="2"/>
    <x v="1"/>
    <x v="16"/>
    <n v="7"/>
    <n v="4019.29"/>
    <n v="28135.03"/>
    <s v="P017"/>
  </r>
  <r>
    <n v="178"/>
    <s v="CUST1073"/>
    <d v="2024-04-24T00:00:00"/>
    <x v="3"/>
    <x v="4"/>
    <x v="10"/>
    <n v="2"/>
    <n v="3204.04"/>
    <n v="6408.08"/>
    <s v="P011"/>
  </r>
  <r>
    <n v="179"/>
    <s v="CUST1029"/>
    <d v="2024-09-02T00:00:00"/>
    <x v="2"/>
    <x v="1"/>
    <x v="16"/>
    <n v="4"/>
    <n v="748.15"/>
    <n v="2992.6"/>
    <s v="P017"/>
  </r>
  <r>
    <n v="180"/>
    <s v="CUST1085"/>
    <d v="2024-04-18T00:00:00"/>
    <x v="2"/>
    <x v="0"/>
    <x v="0"/>
    <n v="6"/>
    <n v="4580.0600000000004"/>
    <n v="27480.36"/>
    <s v="P001"/>
  </r>
  <r>
    <n v="181"/>
    <s v="CUST1025"/>
    <d v="2024-02-11T00:00:00"/>
    <x v="0"/>
    <x v="4"/>
    <x v="18"/>
    <n v="2"/>
    <n v="2815.47"/>
    <n v="5630.94"/>
    <s v="P019"/>
  </r>
  <r>
    <n v="182"/>
    <s v="CUST1057"/>
    <d v="2024-03-16T00:00:00"/>
    <x v="1"/>
    <x v="0"/>
    <x v="2"/>
    <n v="6"/>
    <n v="770.74"/>
    <n v="4624.4399999999996"/>
    <s v="P003"/>
  </r>
  <r>
    <n v="183"/>
    <s v="CUST1053"/>
    <d v="2024-10-13T00:00:00"/>
    <x v="2"/>
    <x v="1"/>
    <x v="1"/>
    <n v="2"/>
    <n v="3042.53"/>
    <n v="6085.06"/>
    <s v="P002"/>
  </r>
  <r>
    <n v="184"/>
    <s v="CUST1065"/>
    <d v="2024-06-21T00:00:00"/>
    <x v="3"/>
    <x v="2"/>
    <x v="12"/>
    <n v="2"/>
    <n v="914.79"/>
    <n v="1829.58"/>
    <s v="P013"/>
  </r>
  <r>
    <n v="185"/>
    <s v="CUST1011"/>
    <d v="2024-06-29T00:00:00"/>
    <x v="0"/>
    <x v="1"/>
    <x v="16"/>
    <n v="5"/>
    <n v="4201.6899999999996"/>
    <n v="21008.45"/>
    <s v="P017"/>
  </r>
  <r>
    <n v="186"/>
    <s v="CUST1098"/>
    <d v="2024-06-12T00:00:00"/>
    <x v="3"/>
    <x v="1"/>
    <x v="4"/>
    <n v="8"/>
    <n v="2875.38"/>
    <n v="23003.040000000001"/>
    <s v="P005"/>
  </r>
  <r>
    <n v="187"/>
    <s v="CUST1020"/>
    <d v="2024-02-24T00:00:00"/>
    <x v="1"/>
    <x v="0"/>
    <x v="13"/>
    <n v="1"/>
    <n v="1422.56"/>
    <n v="1422.56"/>
    <s v="P014"/>
  </r>
  <r>
    <n v="188"/>
    <s v="CUST1066"/>
    <d v="2024-08-14T00:00:00"/>
    <x v="0"/>
    <x v="1"/>
    <x v="11"/>
    <n v="2"/>
    <n v="3154.33"/>
    <n v="6308.66"/>
    <s v="P012"/>
  </r>
  <r>
    <n v="189"/>
    <s v="CUST1042"/>
    <d v="2024-03-13T00:00:00"/>
    <x v="3"/>
    <x v="4"/>
    <x v="19"/>
    <n v="9"/>
    <n v="3554.14"/>
    <n v="31987.26"/>
    <s v="P020"/>
  </r>
  <r>
    <n v="190"/>
    <s v="CUST1044"/>
    <d v="2024-01-25T00:00:00"/>
    <x v="1"/>
    <x v="1"/>
    <x v="4"/>
    <n v="2"/>
    <n v="4017.14"/>
    <n v="8034.28"/>
    <s v="P005"/>
  </r>
  <r>
    <n v="191"/>
    <s v="CUST1049"/>
    <d v="2024-04-11T00:00:00"/>
    <x v="2"/>
    <x v="3"/>
    <x v="6"/>
    <n v="5"/>
    <n v="548.75"/>
    <n v="2743.75"/>
    <s v="P007"/>
  </r>
  <r>
    <n v="192"/>
    <s v="CUST1062"/>
    <d v="2024-01-17T00:00:00"/>
    <x v="2"/>
    <x v="4"/>
    <x v="15"/>
    <n v="1"/>
    <n v="1007.15"/>
    <n v="1007.15"/>
    <s v="P016"/>
  </r>
  <r>
    <n v="193"/>
    <s v="CUST1080"/>
    <d v="2024-03-20T00:00:00"/>
    <x v="0"/>
    <x v="1"/>
    <x v="1"/>
    <n v="5"/>
    <n v="3819.28"/>
    <n v="19096.400000000001"/>
    <s v="P002"/>
  </r>
  <r>
    <n v="194"/>
    <s v="CUST1059"/>
    <d v="2024-07-16T00:00:00"/>
    <x v="0"/>
    <x v="4"/>
    <x v="18"/>
    <n v="9"/>
    <n v="3268.66"/>
    <n v="29417.94"/>
    <s v="P019"/>
  </r>
  <r>
    <n v="195"/>
    <s v="CUST1026"/>
    <d v="2024-01-26T00:00:00"/>
    <x v="1"/>
    <x v="2"/>
    <x v="7"/>
    <n v="7"/>
    <n v="4996.83"/>
    <n v="34977.81"/>
    <s v="P008"/>
  </r>
  <r>
    <n v="196"/>
    <s v="CUST1072"/>
    <d v="2024-03-26T00:00:00"/>
    <x v="2"/>
    <x v="0"/>
    <x v="0"/>
    <n v="9"/>
    <n v="1043.74"/>
    <n v="9393.66"/>
    <s v="P001"/>
  </r>
  <r>
    <n v="197"/>
    <s v="CUST1018"/>
    <d v="2024-08-02T00:00:00"/>
    <x v="3"/>
    <x v="2"/>
    <x v="17"/>
    <n v="4"/>
    <n v="4238.29"/>
    <n v="16953.16"/>
    <s v="P018"/>
  </r>
  <r>
    <n v="198"/>
    <s v="CUST1043"/>
    <d v="2024-04-12T00:00:00"/>
    <x v="3"/>
    <x v="1"/>
    <x v="1"/>
    <n v="2"/>
    <n v="4436.49"/>
    <n v="8872.98"/>
    <s v="P002"/>
  </r>
  <r>
    <n v="199"/>
    <s v="CUST1093"/>
    <d v="2024-07-01T00:00:00"/>
    <x v="1"/>
    <x v="3"/>
    <x v="6"/>
    <n v="8"/>
    <n v="2743.51"/>
    <n v="21948.080000000002"/>
    <s v="P007"/>
  </r>
  <r>
    <n v="200"/>
    <s v="CUST1042"/>
    <d v="2024-07-28T00:00:00"/>
    <x v="3"/>
    <x v="0"/>
    <x v="2"/>
    <n v="2"/>
    <n v="219.56"/>
    <n v="439.12"/>
    <s v="P003"/>
  </r>
  <r>
    <n v="201"/>
    <s v="CUST1099"/>
    <d v="2024-02-03T00:00:00"/>
    <x v="2"/>
    <x v="1"/>
    <x v="4"/>
    <n v="2"/>
    <n v="4701.43"/>
    <n v="9402.86"/>
    <s v="P005"/>
  </r>
  <r>
    <n v="202"/>
    <s v="CUST1057"/>
    <d v="2024-02-08T00:00:00"/>
    <x v="2"/>
    <x v="3"/>
    <x v="9"/>
    <n v="1"/>
    <n v="2069.46"/>
    <n v="2069.46"/>
    <s v="P010"/>
  </r>
  <r>
    <n v="203"/>
    <s v="CUST1025"/>
    <d v="2024-09-28T00:00:00"/>
    <x v="0"/>
    <x v="3"/>
    <x v="6"/>
    <n v="9"/>
    <n v="3864.54"/>
    <n v="34780.86"/>
    <s v="P007"/>
  </r>
  <r>
    <n v="204"/>
    <s v="CUST1068"/>
    <d v="2024-03-05T00:00:00"/>
    <x v="2"/>
    <x v="4"/>
    <x v="15"/>
    <n v="8"/>
    <n v="1507.47"/>
    <n v="12059.76"/>
    <s v="P016"/>
  </r>
  <r>
    <n v="205"/>
    <s v="CUST1079"/>
    <d v="2024-05-25T00:00:00"/>
    <x v="2"/>
    <x v="0"/>
    <x v="3"/>
    <n v="1"/>
    <n v="4560.66"/>
    <n v="4560.66"/>
    <s v="P004"/>
  </r>
  <r>
    <n v="206"/>
    <s v="CUST1059"/>
    <d v="2024-03-13T00:00:00"/>
    <x v="1"/>
    <x v="4"/>
    <x v="19"/>
    <n v="8"/>
    <n v="709.74"/>
    <n v="5677.92"/>
    <s v="P020"/>
  </r>
  <r>
    <n v="207"/>
    <s v="CUST1063"/>
    <d v="2024-10-19T00:00:00"/>
    <x v="3"/>
    <x v="0"/>
    <x v="0"/>
    <n v="6"/>
    <n v="4913.42"/>
    <n v="29480.52"/>
    <s v="P001"/>
  </r>
  <r>
    <n v="208"/>
    <s v="CUST1004"/>
    <d v="2024-01-11T00:00:00"/>
    <x v="2"/>
    <x v="0"/>
    <x v="2"/>
    <n v="9"/>
    <n v="3742.43"/>
    <n v="33681.870000000003"/>
    <s v="P003"/>
  </r>
  <r>
    <n v="209"/>
    <s v="CUST1074"/>
    <d v="2024-02-28T00:00:00"/>
    <x v="0"/>
    <x v="3"/>
    <x v="9"/>
    <n v="6"/>
    <n v="3077.91"/>
    <n v="18467.46"/>
    <s v="P010"/>
  </r>
  <r>
    <n v="210"/>
    <s v="CUST1003"/>
    <d v="2024-04-16T00:00:00"/>
    <x v="2"/>
    <x v="4"/>
    <x v="18"/>
    <n v="9"/>
    <n v="1013.55"/>
    <n v="9121.9500000000007"/>
    <s v="P019"/>
  </r>
  <r>
    <n v="211"/>
    <s v="CUST1099"/>
    <d v="2024-09-18T00:00:00"/>
    <x v="3"/>
    <x v="0"/>
    <x v="2"/>
    <n v="7"/>
    <n v="4430.55"/>
    <n v="31013.85"/>
    <s v="P003"/>
  </r>
  <r>
    <n v="212"/>
    <s v="CUST1062"/>
    <d v="2024-01-20T00:00:00"/>
    <x v="2"/>
    <x v="4"/>
    <x v="19"/>
    <n v="3"/>
    <n v="3815.37"/>
    <n v="11446.11"/>
    <s v="P020"/>
  </r>
  <r>
    <n v="213"/>
    <s v="CUST1089"/>
    <d v="2024-05-24T00:00:00"/>
    <x v="0"/>
    <x v="1"/>
    <x v="1"/>
    <n v="3"/>
    <n v="1199.76"/>
    <n v="3599.28"/>
    <s v="P002"/>
  </r>
  <r>
    <n v="214"/>
    <s v="CUST1092"/>
    <d v="2024-03-08T00:00:00"/>
    <x v="2"/>
    <x v="0"/>
    <x v="2"/>
    <n v="9"/>
    <n v="2016.73"/>
    <n v="18150.57"/>
    <s v="P003"/>
  </r>
  <r>
    <n v="215"/>
    <s v="CUST1009"/>
    <d v="2024-01-29T00:00:00"/>
    <x v="3"/>
    <x v="1"/>
    <x v="11"/>
    <n v="2"/>
    <n v="4324.43"/>
    <n v="8648.86"/>
    <s v="P012"/>
  </r>
  <r>
    <n v="216"/>
    <s v="CUST1079"/>
    <d v="2024-02-09T00:00:00"/>
    <x v="3"/>
    <x v="0"/>
    <x v="0"/>
    <n v="2"/>
    <n v="2101.42"/>
    <n v="4202.84"/>
    <s v="P001"/>
  </r>
  <r>
    <n v="217"/>
    <s v="CUST1060"/>
    <d v="2024-02-07T00:00:00"/>
    <x v="0"/>
    <x v="1"/>
    <x v="11"/>
    <n v="2"/>
    <n v="497.13"/>
    <n v="994.26"/>
    <s v="P012"/>
  </r>
  <r>
    <n v="218"/>
    <s v="CUST1045"/>
    <d v="2024-06-24T00:00:00"/>
    <x v="3"/>
    <x v="3"/>
    <x v="9"/>
    <n v="1"/>
    <n v="401.43"/>
    <n v="401.43"/>
    <s v="P010"/>
  </r>
  <r>
    <n v="219"/>
    <s v="CUST1098"/>
    <d v="2024-08-11T00:00:00"/>
    <x v="2"/>
    <x v="0"/>
    <x v="0"/>
    <n v="3"/>
    <n v="1804.27"/>
    <n v="5412.81"/>
    <s v="P001"/>
  </r>
  <r>
    <n v="220"/>
    <s v="CUST1019"/>
    <d v="2024-02-09T00:00:00"/>
    <x v="1"/>
    <x v="0"/>
    <x v="3"/>
    <n v="1"/>
    <n v="4405.29"/>
    <n v="4405.29"/>
    <s v="P004"/>
  </r>
  <r>
    <n v="221"/>
    <s v="CUST1045"/>
    <d v="2024-06-16T00:00:00"/>
    <x v="0"/>
    <x v="4"/>
    <x v="15"/>
    <n v="9"/>
    <n v="1736.64"/>
    <n v="15629.76"/>
    <s v="P016"/>
  </r>
  <r>
    <n v="222"/>
    <s v="CUST1005"/>
    <d v="2024-06-29T00:00:00"/>
    <x v="2"/>
    <x v="3"/>
    <x v="6"/>
    <n v="6"/>
    <n v="1027.19"/>
    <n v="6163.14"/>
    <s v="P007"/>
  </r>
  <r>
    <n v="223"/>
    <s v="CUST1042"/>
    <d v="2024-08-22T00:00:00"/>
    <x v="3"/>
    <x v="2"/>
    <x v="12"/>
    <n v="3"/>
    <n v="4407.45"/>
    <n v="13222.35"/>
    <s v="P013"/>
  </r>
  <r>
    <n v="224"/>
    <s v="CUST1100"/>
    <d v="2024-06-08T00:00:00"/>
    <x v="1"/>
    <x v="0"/>
    <x v="2"/>
    <n v="7"/>
    <n v="887.72"/>
    <n v="6214.04"/>
    <s v="P003"/>
  </r>
  <r>
    <n v="225"/>
    <s v="CUST1013"/>
    <d v="2024-09-14T00:00:00"/>
    <x v="2"/>
    <x v="0"/>
    <x v="3"/>
    <n v="7"/>
    <n v="1046.3499999999999"/>
    <n v="7324.45"/>
    <s v="P004"/>
  </r>
  <r>
    <n v="226"/>
    <s v="CUST1098"/>
    <d v="2024-02-15T00:00:00"/>
    <x v="1"/>
    <x v="4"/>
    <x v="19"/>
    <n v="1"/>
    <n v="667.63"/>
    <n v="667.63"/>
    <s v="P020"/>
  </r>
  <r>
    <n v="227"/>
    <s v="CUST1071"/>
    <d v="2024-07-06T00:00:00"/>
    <x v="0"/>
    <x v="0"/>
    <x v="0"/>
    <n v="6"/>
    <n v="1488.38"/>
    <n v="8930.2800000000007"/>
    <s v="P001"/>
  </r>
  <r>
    <n v="228"/>
    <s v="CUST1068"/>
    <d v="2024-03-14T00:00:00"/>
    <x v="3"/>
    <x v="2"/>
    <x v="17"/>
    <n v="5"/>
    <n v="602.29999999999995"/>
    <n v="3011.5"/>
    <s v="P018"/>
  </r>
  <r>
    <n v="229"/>
    <s v="CUST1017"/>
    <d v="2024-08-29T00:00:00"/>
    <x v="0"/>
    <x v="1"/>
    <x v="1"/>
    <n v="1"/>
    <n v="3877.82"/>
    <n v="3877.82"/>
    <s v="P002"/>
  </r>
  <r>
    <n v="230"/>
    <s v="CUST1064"/>
    <d v="2024-07-11T00:00:00"/>
    <x v="2"/>
    <x v="2"/>
    <x v="7"/>
    <n v="2"/>
    <n v="4370.53"/>
    <n v="8741.06"/>
    <s v="P008"/>
  </r>
  <r>
    <n v="231"/>
    <s v="CUST1076"/>
    <d v="2024-06-23T00:00:00"/>
    <x v="3"/>
    <x v="3"/>
    <x v="14"/>
    <n v="3"/>
    <n v="3012.54"/>
    <n v="9037.6200000000008"/>
    <s v="P015"/>
  </r>
  <r>
    <n v="232"/>
    <s v="CUST1032"/>
    <d v="2024-01-07T00:00:00"/>
    <x v="3"/>
    <x v="1"/>
    <x v="11"/>
    <n v="6"/>
    <n v="1921.98"/>
    <n v="11531.88"/>
    <s v="P012"/>
  </r>
  <r>
    <n v="233"/>
    <s v="CUST1081"/>
    <d v="2024-02-27T00:00:00"/>
    <x v="1"/>
    <x v="2"/>
    <x v="5"/>
    <n v="2"/>
    <n v="4985.91"/>
    <n v="9971.82"/>
    <s v="P006"/>
  </r>
  <r>
    <n v="234"/>
    <s v="CUST1075"/>
    <d v="2024-04-08T00:00:00"/>
    <x v="3"/>
    <x v="4"/>
    <x v="15"/>
    <n v="7"/>
    <n v="4147.01"/>
    <n v="29029.07"/>
    <s v="P016"/>
  </r>
  <r>
    <n v="235"/>
    <s v="CUST1056"/>
    <d v="2024-10-14T00:00:00"/>
    <x v="2"/>
    <x v="3"/>
    <x v="8"/>
    <n v="3"/>
    <n v="4759.2299999999996"/>
    <n v="14277.69"/>
    <s v="P009"/>
  </r>
  <r>
    <n v="236"/>
    <s v="CUST1006"/>
    <d v="2024-04-01T00:00:00"/>
    <x v="3"/>
    <x v="0"/>
    <x v="0"/>
    <n v="5"/>
    <n v="3228.78"/>
    <n v="16143.9"/>
    <s v="P001"/>
  </r>
  <r>
    <n v="237"/>
    <s v="CUST1038"/>
    <d v="2024-05-26T00:00:00"/>
    <x v="3"/>
    <x v="0"/>
    <x v="0"/>
    <n v="1"/>
    <n v="1671.64"/>
    <n v="1671.64"/>
    <s v="P001"/>
  </r>
  <r>
    <n v="238"/>
    <s v="CUST1012"/>
    <d v="2024-01-15T00:00:00"/>
    <x v="2"/>
    <x v="0"/>
    <x v="0"/>
    <n v="1"/>
    <n v="3293.17"/>
    <n v="3293.17"/>
    <s v="P001"/>
  </r>
  <r>
    <n v="239"/>
    <s v="CUST1089"/>
    <d v="2024-09-30T00:00:00"/>
    <x v="1"/>
    <x v="3"/>
    <x v="14"/>
    <n v="8"/>
    <n v="880.3"/>
    <n v="7042.4"/>
    <s v="P015"/>
  </r>
  <r>
    <n v="240"/>
    <s v="CUST1003"/>
    <d v="2024-05-24T00:00:00"/>
    <x v="3"/>
    <x v="0"/>
    <x v="13"/>
    <n v="2"/>
    <n v="3829.02"/>
    <n v="7658.04"/>
    <s v="P014"/>
  </r>
  <r>
    <n v="241"/>
    <s v="CUST1015"/>
    <d v="2024-06-29T00:00:00"/>
    <x v="0"/>
    <x v="3"/>
    <x v="8"/>
    <n v="3"/>
    <n v="1008.75"/>
    <n v="3026.25"/>
    <s v="P009"/>
  </r>
  <r>
    <n v="242"/>
    <s v="CUST1038"/>
    <d v="2024-06-01T00:00:00"/>
    <x v="2"/>
    <x v="4"/>
    <x v="18"/>
    <n v="4"/>
    <n v="2208.5"/>
    <n v="8834"/>
    <s v="P019"/>
  </r>
  <r>
    <n v="243"/>
    <s v="CUST1011"/>
    <d v="2024-08-01T00:00:00"/>
    <x v="2"/>
    <x v="0"/>
    <x v="3"/>
    <n v="2"/>
    <n v="4008.04"/>
    <n v="8016.08"/>
    <s v="P004"/>
  </r>
  <r>
    <n v="244"/>
    <s v="CUST1064"/>
    <d v="2024-03-04T00:00:00"/>
    <x v="3"/>
    <x v="4"/>
    <x v="10"/>
    <n v="5"/>
    <n v="454.99"/>
    <n v="2274.9499999999998"/>
    <s v="P011"/>
  </r>
  <r>
    <n v="245"/>
    <s v="CUST1041"/>
    <d v="2024-04-04T00:00:00"/>
    <x v="2"/>
    <x v="1"/>
    <x v="11"/>
    <n v="9"/>
    <n v="4314.6000000000004"/>
    <n v="38831.4"/>
    <s v="P012"/>
  </r>
  <r>
    <n v="246"/>
    <s v="CUST1046"/>
    <d v="2024-09-23T00:00:00"/>
    <x v="2"/>
    <x v="1"/>
    <x v="1"/>
    <n v="9"/>
    <n v="1286.02"/>
    <n v="11574.18"/>
    <s v="P002"/>
  </r>
  <r>
    <n v="247"/>
    <s v="CUST1032"/>
    <d v="2024-06-08T00:00:00"/>
    <x v="1"/>
    <x v="3"/>
    <x v="14"/>
    <n v="1"/>
    <n v="2842.28"/>
    <n v="2842.28"/>
    <s v="P015"/>
  </r>
  <r>
    <n v="248"/>
    <s v="CUST1077"/>
    <d v="2024-08-29T00:00:00"/>
    <x v="0"/>
    <x v="4"/>
    <x v="18"/>
    <n v="1"/>
    <n v="530.54999999999995"/>
    <n v="530.54999999999995"/>
    <s v="P019"/>
  </r>
  <r>
    <n v="249"/>
    <s v="CUST1090"/>
    <d v="2024-03-17T00:00:00"/>
    <x v="0"/>
    <x v="2"/>
    <x v="5"/>
    <n v="7"/>
    <n v="750.31"/>
    <n v="5252.17"/>
    <s v="P006"/>
  </r>
  <r>
    <n v="250"/>
    <s v="CUST1044"/>
    <d v="2024-06-22T00:00:00"/>
    <x v="2"/>
    <x v="2"/>
    <x v="17"/>
    <n v="2"/>
    <n v="301.8"/>
    <n v="603.6"/>
    <s v="P018"/>
  </r>
  <r>
    <n v="251"/>
    <s v="CUST1032"/>
    <d v="2024-05-02T00:00:00"/>
    <x v="2"/>
    <x v="4"/>
    <x v="18"/>
    <n v="9"/>
    <n v="354.66"/>
    <n v="3191.94"/>
    <s v="P019"/>
  </r>
  <r>
    <n v="252"/>
    <s v="CUST1062"/>
    <d v="2024-02-10T00:00:00"/>
    <x v="2"/>
    <x v="3"/>
    <x v="14"/>
    <n v="8"/>
    <n v="3599.03"/>
    <n v="28792.240000000002"/>
    <s v="P015"/>
  </r>
  <r>
    <n v="253"/>
    <s v="CUST1080"/>
    <d v="2024-03-24T00:00:00"/>
    <x v="2"/>
    <x v="1"/>
    <x v="4"/>
    <n v="7"/>
    <n v="3338.02"/>
    <n v="23366.14"/>
    <s v="P005"/>
  </r>
  <r>
    <n v="254"/>
    <s v="CUST1014"/>
    <d v="2024-01-22T00:00:00"/>
    <x v="2"/>
    <x v="1"/>
    <x v="4"/>
    <n v="9"/>
    <n v="903.6"/>
    <n v="8132.4"/>
    <s v="P005"/>
  </r>
  <r>
    <n v="255"/>
    <s v="CUST1019"/>
    <d v="2024-01-12T00:00:00"/>
    <x v="1"/>
    <x v="3"/>
    <x v="9"/>
    <n v="9"/>
    <n v="4371.74"/>
    <n v="39345.660000000003"/>
    <s v="P010"/>
  </r>
  <r>
    <n v="256"/>
    <s v="CUST1053"/>
    <d v="2024-02-24T00:00:00"/>
    <x v="2"/>
    <x v="3"/>
    <x v="9"/>
    <n v="8"/>
    <n v="4371.9799999999996"/>
    <n v="34975.839999999997"/>
    <s v="P010"/>
  </r>
  <r>
    <n v="257"/>
    <s v="CUST1083"/>
    <d v="2024-07-01T00:00:00"/>
    <x v="0"/>
    <x v="1"/>
    <x v="1"/>
    <n v="2"/>
    <n v="202.22"/>
    <n v="404.44"/>
    <s v="P002"/>
  </r>
  <r>
    <n v="258"/>
    <s v="CUST1035"/>
    <d v="2024-05-29T00:00:00"/>
    <x v="3"/>
    <x v="4"/>
    <x v="15"/>
    <n v="3"/>
    <n v="499.48"/>
    <n v="1498.44"/>
    <s v="P016"/>
  </r>
  <r>
    <n v="259"/>
    <s v="CUST1031"/>
    <d v="2024-04-02T00:00:00"/>
    <x v="2"/>
    <x v="4"/>
    <x v="15"/>
    <n v="1"/>
    <n v="4354.54"/>
    <n v="4354.54"/>
    <s v="P016"/>
  </r>
  <r>
    <n v="260"/>
    <s v="CUST1050"/>
    <d v="2024-01-24T00:00:00"/>
    <x v="0"/>
    <x v="0"/>
    <x v="13"/>
    <n v="4"/>
    <n v="2573.7399999999998"/>
    <n v="10294.959999999999"/>
    <s v="P014"/>
  </r>
  <r>
    <n v="261"/>
    <s v="CUST1100"/>
    <d v="2024-06-25T00:00:00"/>
    <x v="1"/>
    <x v="4"/>
    <x v="10"/>
    <n v="5"/>
    <n v="2038.02"/>
    <n v="10190.1"/>
    <s v="P011"/>
  </r>
  <r>
    <n v="262"/>
    <s v="CUST1058"/>
    <d v="2024-03-06T00:00:00"/>
    <x v="1"/>
    <x v="2"/>
    <x v="7"/>
    <n v="6"/>
    <n v="3309.55"/>
    <n v="19857.3"/>
    <s v="P008"/>
  </r>
  <r>
    <n v="263"/>
    <s v="CUST1015"/>
    <d v="2024-09-02T00:00:00"/>
    <x v="3"/>
    <x v="3"/>
    <x v="6"/>
    <n v="2"/>
    <n v="3194.65"/>
    <n v="6389.3"/>
    <s v="P007"/>
  </r>
  <r>
    <n v="264"/>
    <s v="CUST1087"/>
    <d v="2024-08-12T00:00:00"/>
    <x v="1"/>
    <x v="2"/>
    <x v="7"/>
    <n v="4"/>
    <n v="4554.26"/>
    <n v="18217.04"/>
    <s v="P008"/>
  </r>
  <r>
    <n v="265"/>
    <s v="CUST1041"/>
    <d v="2024-10-24T00:00:00"/>
    <x v="0"/>
    <x v="2"/>
    <x v="17"/>
    <n v="5"/>
    <n v="4286.49"/>
    <n v="21432.45"/>
    <s v="P018"/>
  </r>
  <r>
    <n v="266"/>
    <s v="CUST1017"/>
    <d v="2024-04-20T00:00:00"/>
    <x v="2"/>
    <x v="4"/>
    <x v="10"/>
    <n v="2"/>
    <n v="566.78"/>
    <n v="1133.56"/>
    <s v="P011"/>
  </r>
  <r>
    <n v="267"/>
    <s v="CUST1040"/>
    <d v="2024-01-28T00:00:00"/>
    <x v="2"/>
    <x v="1"/>
    <x v="11"/>
    <n v="5"/>
    <n v="1693.43"/>
    <n v="8467.15"/>
    <s v="P012"/>
  </r>
  <r>
    <n v="268"/>
    <s v="CUST1080"/>
    <d v="2024-06-12T00:00:00"/>
    <x v="3"/>
    <x v="1"/>
    <x v="16"/>
    <n v="3"/>
    <n v="2265.92"/>
    <n v="6797.76"/>
    <s v="P017"/>
  </r>
  <r>
    <n v="269"/>
    <s v="CUST1020"/>
    <d v="2024-04-02T00:00:00"/>
    <x v="2"/>
    <x v="3"/>
    <x v="8"/>
    <n v="9"/>
    <n v="2211.35"/>
    <n v="19902.150000000001"/>
    <s v="P009"/>
  </r>
  <r>
    <n v="270"/>
    <s v="CUST1084"/>
    <d v="2024-09-20T00:00:00"/>
    <x v="1"/>
    <x v="3"/>
    <x v="9"/>
    <n v="9"/>
    <n v="918.51"/>
    <n v="8266.59"/>
    <s v="P010"/>
  </r>
  <r>
    <n v="271"/>
    <s v="CUST1049"/>
    <d v="2024-10-10T00:00:00"/>
    <x v="3"/>
    <x v="1"/>
    <x v="11"/>
    <n v="5"/>
    <n v="2714.21"/>
    <n v="13571.05"/>
    <s v="P012"/>
  </r>
  <r>
    <n v="272"/>
    <s v="CUST1061"/>
    <d v="2024-04-29T00:00:00"/>
    <x v="0"/>
    <x v="3"/>
    <x v="6"/>
    <n v="6"/>
    <n v="1108.6199999999999"/>
    <n v="6651.72"/>
    <s v="P007"/>
  </r>
  <r>
    <n v="273"/>
    <s v="CUST1070"/>
    <d v="2024-05-09T00:00:00"/>
    <x v="3"/>
    <x v="0"/>
    <x v="13"/>
    <n v="1"/>
    <n v="698.34"/>
    <n v="698.34"/>
    <s v="P014"/>
  </r>
  <r>
    <n v="274"/>
    <s v="CUST1012"/>
    <d v="2024-09-01T00:00:00"/>
    <x v="1"/>
    <x v="0"/>
    <x v="3"/>
    <n v="1"/>
    <n v="2964.89"/>
    <n v="2964.89"/>
    <s v="P004"/>
  </r>
  <r>
    <n v="275"/>
    <s v="CUST1029"/>
    <d v="2024-10-02T00:00:00"/>
    <x v="3"/>
    <x v="2"/>
    <x v="7"/>
    <n v="2"/>
    <n v="1683.34"/>
    <n v="3366.68"/>
    <s v="P008"/>
  </r>
  <r>
    <n v="276"/>
    <s v="CUST1084"/>
    <d v="2024-07-03T00:00:00"/>
    <x v="1"/>
    <x v="1"/>
    <x v="16"/>
    <n v="7"/>
    <n v="3367.63"/>
    <n v="23573.41"/>
    <s v="P017"/>
  </r>
  <r>
    <n v="277"/>
    <s v="CUST1008"/>
    <d v="2024-05-30T00:00:00"/>
    <x v="0"/>
    <x v="0"/>
    <x v="13"/>
    <n v="2"/>
    <n v="1089.08"/>
    <n v="2178.16"/>
    <s v="P014"/>
  </r>
  <r>
    <n v="278"/>
    <s v="CUST1086"/>
    <d v="2024-05-08T00:00:00"/>
    <x v="1"/>
    <x v="0"/>
    <x v="13"/>
    <n v="6"/>
    <n v="4353.8999999999996"/>
    <n v="26123.4"/>
    <s v="P014"/>
  </r>
  <r>
    <n v="279"/>
    <s v="CUST1074"/>
    <d v="2024-06-23T00:00:00"/>
    <x v="2"/>
    <x v="4"/>
    <x v="15"/>
    <n v="7"/>
    <n v="4728.6099999999997"/>
    <n v="33100.269999999997"/>
    <s v="P016"/>
  </r>
  <r>
    <n v="280"/>
    <s v="CUST1076"/>
    <d v="2024-04-23T00:00:00"/>
    <x v="2"/>
    <x v="4"/>
    <x v="18"/>
    <n v="8"/>
    <n v="4336.58"/>
    <n v="34692.639999999999"/>
    <s v="P019"/>
  </r>
  <r>
    <n v="281"/>
    <s v="CUST1090"/>
    <d v="2024-10-15T00:00:00"/>
    <x v="3"/>
    <x v="1"/>
    <x v="4"/>
    <n v="5"/>
    <n v="3368.16"/>
    <n v="16840.8"/>
    <s v="P005"/>
  </r>
  <r>
    <n v="282"/>
    <s v="CUST1033"/>
    <d v="2024-08-07T00:00:00"/>
    <x v="2"/>
    <x v="2"/>
    <x v="7"/>
    <n v="6"/>
    <n v="1658.75"/>
    <n v="9952.5"/>
    <s v="P008"/>
  </r>
  <r>
    <n v="283"/>
    <s v="CUST1075"/>
    <d v="2024-06-17T00:00:00"/>
    <x v="3"/>
    <x v="0"/>
    <x v="3"/>
    <n v="5"/>
    <n v="2878.38"/>
    <n v="14391.9"/>
    <s v="P004"/>
  </r>
  <r>
    <n v="284"/>
    <s v="CUST1082"/>
    <d v="2024-04-07T00:00:00"/>
    <x v="3"/>
    <x v="3"/>
    <x v="8"/>
    <n v="3"/>
    <n v="4058.45"/>
    <n v="12175.35"/>
    <s v="P009"/>
  </r>
  <r>
    <n v="285"/>
    <s v="CUST1054"/>
    <d v="2024-10-05T00:00:00"/>
    <x v="1"/>
    <x v="0"/>
    <x v="0"/>
    <n v="1"/>
    <n v="689.02"/>
    <n v="689.02"/>
    <s v="P001"/>
  </r>
  <r>
    <n v="286"/>
    <s v="CUST1019"/>
    <d v="2024-03-29T00:00:00"/>
    <x v="3"/>
    <x v="4"/>
    <x v="10"/>
    <n v="7"/>
    <n v="2860.85"/>
    <n v="20025.95"/>
    <s v="P011"/>
  </r>
  <r>
    <n v="287"/>
    <s v="CUST1090"/>
    <d v="2024-04-02T00:00:00"/>
    <x v="3"/>
    <x v="4"/>
    <x v="19"/>
    <n v="1"/>
    <n v="2277.66"/>
    <n v="2277.66"/>
    <s v="P020"/>
  </r>
  <r>
    <n v="288"/>
    <s v="CUST1026"/>
    <d v="2024-09-23T00:00:00"/>
    <x v="1"/>
    <x v="2"/>
    <x v="5"/>
    <n v="9"/>
    <n v="1960.95"/>
    <n v="17648.55"/>
    <s v="P006"/>
  </r>
  <r>
    <n v="289"/>
    <s v="CUST1037"/>
    <d v="2024-04-26T00:00:00"/>
    <x v="3"/>
    <x v="2"/>
    <x v="12"/>
    <n v="5"/>
    <n v="2054.23"/>
    <n v="10271.15"/>
    <s v="P013"/>
  </r>
  <r>
    <n v="290"/>
    <s v="CUST1043"/>
    <d v="2024-10-26T00:00:00"/>
    <x v="0"/>
    <x v="1"/>
    <x v="1"/>
    <n v="7"/>
    <n v="4083.63"/>
    <n v="28585.41"/>
    <s v="P002"/>
  </r>
  <r>
    <n v="291"/>
    <s v="CUST1025"/>
    <d v="2024-01-21T00:00:00"/>
    <x v="1"/>
    <x v="1"/>
    <x v="4"/>
    <n v="5"/>
    <n v="4500.3500000000004"/>
    <n v="22501.75"/>
    <s v="P005"/>
  </r>
  <r>
    <n v="292"/>
    <s v="CUST1086"/>
    <d v="2024-10-18T00:00:00"/>
    <x v="1"/>
    <x v="1"/>
    <x v="4"/>
    <n v="4"/>
    <n v="4678.74"/>
    <n v="18714.96"/>
    <s v="P005"/>
  </r>
  <r>
    <n v="293"/>
    <s v="CUST1027"/>
    <d v="2024-10-01T00:00:00"/>
    <x v="2"/>
    <x v="0"/>
    <x v="13"/>
    <n v="5"/>
    <n v="1495.88"/>
    <n v="7479.4"/>
    <s v="P014"/>
  </r>
  <r>
    <n v="294"/>
    <s v="CUST1036"/>
    <d v="2024-06-05T00:00:00"/>
    <x v="1"/>
    <x v="3"/>
    <x v="6"/>
    <n v="8"/>
    <n v="1625.41"/>
    <n v="13003.28"/>
    <s v="P007"/>
  </r>
  <r>
    <n v="295"/>
    <s v="CUST1094"/>
    <d v="2024-06-06T00:00:00"/>
    <x v="2"/>
    <x v="2"/>
    <x v="12"/>
    <n v="4"/>
    <n v="4133.55"/>
    <n v="16534.2"/>
    <s v="P013"/>
  </r>
  <r>
    <n v="296"/>
    <s v="CUST1071"/>
    <d v="2024-09-19T00:00:00"/>
    <x v="1"/>
    <x v="3"/>
    <x v="8"/>
    <n v="7"/>
    <n v="2673.3"/>
    <n v="18713.099999999999"/>
    <s v="P009"/>
  </r>
  <r>
    <n v="297"/>
    <s v="CUST1068"/>
    <d v="2024-08-28T00:00:00"/>
    <x v="2"/>
    <x v="0"/>
    <x v="2"/>
    <n v="8"/>
    <n v="4818.34"/>
    <n v="38546.720000000001"/>
    <s v="P003"/>
  </r>
  <r>
    <n v="298"/>
    <s v="CUST1047"/>
    <d v="2024-09-19T00:00:00"/>
    <x v="2"/>
    <x v="4"/>
    <x v="10"/>
    <n v="8"/>
    <n v="2679.85"/>
    <n v="21438.799999999999"/>
    <s v="P011"/>
  </r>
  <r>
    <n v="299"/>
    <s v="CUST1015"/>
    <d v="2024-05-20T00:00:00"/>
    <x v="1"/>
    <x v="0"/>
    <x v="2"/>
    <n v="9"/>
    <n v="3989.34"/>
    <n v="35904.06"/>
    <s v="P003"/>
  </r>
  <r>
    <n v="300"/>
    <s v="CUST1049"/>
    <d v="2024-01-10T00:00:00"/>
    <x v="0"/>
    <x v="2"/>
    <x v="12"/>
    <n v="8"/>
    <n v="3872.73"/>
    <n v="30981.84"/>
    <s v="P013"/>
  </r>
  <r>
    <n v="301"/>
    <s v="CUST1100"/>
    <d v="2024-06-02T00:00:00"/>
    <x v="1"/>
    <x v="0"/>
    <x v="13"/>
    <n v="2"/>
    <n v="3686.59"/>
    <n v="7373.18"/>
    <s v="P014"/>
  </r>
  <r>
    <n v="302"/>
    <s v="CUST1074"/>
    <d v="2024-02-29T00:00:00"/>
    <x v="1"/>
    <x v="2"/>
    <x v="12"/>
    <n v="2"/>
    <n v="3856.62"/>
    <n v="7713.24"/>
    <s v="P013"/>
  </r>
  <r>
    <n v="303"/>
    <s v="CUST1021"/>
    <d v="2024-08-29T00:00:00"/>
    <x v="3"/>
    <x v="4"/>
    <x v="15"/>
    <n v="2"/>
    <n v="2417.17"/>
    <n v="4834.34"/>
    <s v="P016"/>
  </r>
  <r>
    <n v="304"/>
    <s v="CUST1032"/>
    <d v="2024-05-29T00:00:00"/>
    <x v="0"/>
    <x v="0"/>
    <x v="0"/>
    <n v="3"/>
    <n v="3074.76"/>
    <n v="9224.2800000000007"/>
    <s v="P001"/>
  </r>
  <r>
    <n v="305"/>
    <s v="CUST1002"/>
    <d v="2024-01-11T00:00:00"/>
    <x v="2"/>
    <x v="4"/>
    <x v="18"/>
    <n v="9"/>
    <n v="2534.16"/>
    <n v="22807.439999999999"/>
    <s v="P019"/>
  </r>
  <r>
    <n v="306"/>
    <s v="CUST1039"/>
    <d v="2024-10-17T00:00:00"/>
    <x v="1"/>
    <x v="0"/>
    <x v="2"/>
    <n v="3"/>
    <n v="2269.31"/>
    <n v="6807.93"/>
    <s v="P003"/>
  </r>
  <r>
    <n v="307"/>
    <s v="CUST1042"/>
    <d v="2024-08-28T00:00:00"/>
    <x v="1"/>
    <x v="3"/>
    <x v="8"/>
    <n v="3"/>
    <n v="3055.78"/>
    <n v="9167.34"/>
    <s v="P009"/>
  </r>
  <r>
    <n v="308"/>
    <s v="CUST1097"/>
    <d v="2024-10-14T00:00:00"/>
    <x v="1"/>
    <x v="0"/>
    <x v="2"/>
    <n v="4"/>
    <n v="519.73"/>
    <n v="2078.92"/>
    <s v="P003"/>
  </r>
  <r>
    <n v="309"/>
    <s v="CUST1041"/>
    <d v="2024-06-12T00:00:00"/>
    <x v="1"/>
    <x v="4"/>
    <x v="10"/>
    <n v="1"/>
    <n v="1210.6199999999999"/>
    <n v="1210.6199999999999"/>
    <s v="P011"/>
  </r>
  <r>
    <n v="310"/>
    <s v="CUST1044"/>
    <d v="2024-07-14T00:00:00"/>
    <x v="3"/>
    <x v="4"/>
    <x v="10"/>
    <n v="2"/>
    <n v="3381.05"/>
    <n v="6762.1"/>
    <s v="P011"/>
  </r>
  <r>
    <n v="311"/>
    <s v="CUST1067"/>
    <d v="2024-01-27T00:00:00"/>
    <x v="0"/>
    <x v="0"/>
    <x v="13"/>
    <n v="6"/>
    <n v="3004.78"/>
    <n v="18028.68"/>
    <s v="P014"/>
  </r>
  <r>
    <n v="312"/>
    <s v="CUST1087"/>
    <d v="2024-10-26T00:00:00"/>
    <x v="3"/>
    <x v="2"/>
    <x v="17"/>
    <n v="6"/>
    <n v="3380.49"/>
    <n v="20282.939999999999"/>
    <s v="P018"/>
  </r>
  <r>
    <n v="313"/>
    <s v="CUST1008"/>
    <d v="2024-06-20T00:00:00"/>
    <x v="2"/>
    <x v="4"/>
    <x v="15"/>
    <n v="2"/>
    <n v="2287.13"/>
    <n v="4574.26"/>
    <s v="P016"/>
  </r>
  <r>
    <n v="314"/>
    <s v="CUST1031"/>
    <d v="2024-05-29T00:00:00"/>
    <x v="0"/>
    <x v="2"/>
    <x v="7"/>
    <n v="5"/>
    <n v="958.98"/>
    <n v="4794.8999999999996"/>
    <s v="P008"/>
  </r>
  <r>
    <n v="315"/>
    <s v="CUST1008"/>
    <d v="2024-07-26T00:00:00"/>
    <x v="2"/>
    <x v="4"/>
    <x v="15"/>
    <n v="1"/>
    <n v="1574.18"/>
    <n v="1574.18"/>
    <s v="P016"/>
  </r>
  <r>
    <n v="316"/>
    <s v="CUST1005"/>
    <d v="2024-01-03T00:00:00"/>
    <x v="0"/>
    <x v="0"/>
    <x v="0"/>
    <n v="3"/>
    <n v="846.84"/>
    <n v="2540.52"/>
    <s v="P001"/>
  </r>
  <r>
    <n v="317"/>
    <s v="CUST1022"/>
    <d v="2024-09-04T00:00:00"/>
    <x v="0"/>
    <x v="4"/>
    <x v="19"/>
    <n v="5"/>
    <n v="555.35"/>
    <n v="2776.75"/>
    <s v="P020"/>
  </r>
  <r>
    <n v="318"/>
    <s v="CUST1014"/>
    <d v="2024-08-18T00:00:00"/>
    <x v="0"/>
    <x v="4"/>
    <x v="19"/>
    <n v="6"/>
    <n v="880.59"/>
    <n v="5283.54"/>
    <s v="P020"/>
  </r>
  <r>
    <n v="319"/>
    <s v="CUST1002"/>
    <d v="2024-10-18T00:00:00"/>
    <x v="3"/>
    <x v="2"/>
    <x v="12"/>
    <n v="2"/>
    <n v="1966.46"/>
    <n v="3932.92"/>
    <s v="P013"/>
  </r>
  <r>
    <n v="320"/>
    <s v="CUST1023"/>
    <d v="2024-09-05T00:00:00"/>
    <x v="3"/>
    <x v="4"/>
    <x v="15"/>
    <n v="3"/>
    <n v="2045.21"/>
    <n v="6135.63"/>
    <s v="P016"/>
  </r>
  <r>
    <n v="321"/>
    <s v="CUST1043"/>
    <d v="2024-06-02T00:00:00"/>
    <x v="0"/>
    <x v="2"/>
    <x v="17"/>
    <n v="6"/>
    <n v="4605.0200000000004"/>
    <n v="27630.12"/>
    <s v="P018"/>
  </r>
  <r>
    <n v="322"/>
    <s v="CUST1049"/>
    <d v="2024-05-22T00:00:00"/>
    <x v="2"/>
    <x v="3"/>
    <x v="9"/>
    <n v="4"/>
    <n v="1121.7"/>
    <n v="4486.8"/>
    <s v="P010"/>
  </r>
  <r>
    <n v="323"/>
    <s v="CUST1030"/>
    <d v="2024-02-11T00:00:00"/>
    <x v="2"/>
    <x v="2"/>
    <x v="12"/>
    <n v="3"/>
    <n v="3404.09"/>
    <n v="10212.27"/>
    <s v="P013"/>
  </r>
  <r>
    <n v="324"/>
    <s v="CUST1035"/>
    <d v="2024-05-13T00:00:00"/>
    <x v="1"/>
    <x v="3"/>
    <x v="8"/>
    <n v="9"/>
    <n v="1680.39"/>
    <n v="15123.51"/>
    <s v="P009"/>
  </r>
  <r>
    <n v="325"/>
    <s v="CUST1082"/>
    <d v="2024-03-06T00:00:00"/>
    <x v="1"/>
    <x v="2"/>
    <x v="17"/>
    <n v="2"/>
    <n v="4790.88"/>
    <n v="9581.76"/>
    <s v="P018"/>
  </r>
  <r>
    <n v="326"/>
    <s v="CUST1033"/>
    <d v="2024-09-12T00:00:00"/>
    <x v="2"/>
    <x v="4"/>
    <x v="18"/>
    <n v="9"/>
    <n v="2448.84"/>
    <n v="22039.56"/>
    <s v="P019"/>
  </r>
  <r>
    <n v="327"/>
    <s v="CUST1052"/>
    <d v="2024-06-12T00:00:00"/>
    <x v="1"/>
    <x v="4"/>
    <x v="18"/>
    <n v="6"/>
    <n v="4163.7299999999996"/>
    <n v="24982.38"/>
    <s v="P019"/>
  </r>
  <r>
    <n v="328"/>
    <s v="CUST1068"/>
    <d v="2024-01-25T00:00:00"/>
    <x v="3"/>
    <x v="0"/>
    <x v="2"/>
    <n v="8"/>
    <n v="2443.35"/>
    <n v="19546.8"/>
    <s v="P003"/>
  </r>
  <r>
    <n v="329"/>
    <s v="CUST1060"/>
    <d v="2024-01-25T00:00:00"/>
    <x v="1"/>
    <x v="3"/>
    <x v="9"/>
    <n v="4"/>
    <n v="2253.61"/>
    <n v="9014.44"/>
    <s v="P010"/>
  </r>
  <r>
    <n v="330"/>
    <s v="CUST1083"/>
    <d v="2024-06-08T00:00:00"/>
    <x v="3"/>
    <x v="1"/>
    <x v="16"/>
    <n v="2"/>
    <n v="3285.99"/>
    <n v="6571.98"/>
    <s v="P017"/>
  </r>
  <r>
    <n v="331"/>
    <s v="CUST1002"/>
    <d v="2024-10-13T00:00:00"/>
    <x v="1"/>
    <x v="0"/>
    <x v="0"/>
    <n v="2"/>
    <n v="2353.02"/>
    <n v="4706.04"/>
    <s v="P001"/>
  </r>
  <r>
    <n v="332"/>
    <s v="CUST1087"/>
    <d v="2024-09-23T00:00:00"/>
    <x v="2"/>
    <x v="0"/>
    <x v="0"/>
    <n v="8"/>
    <n v="1557.04"/>
    <n v="12456.32"/>
    <s v="P001"/>
  </r>
  <r>
    <n v="333"/>
    <s v="CUST1007"/>
    <d v="2024-03-23T00:00:00"/>
    <x v="3"/>
    <x v="1"/>
    <x v="11"/>
    <n v="9"/>
    <n v="3935.21"/>
    <n v="35416.89"/>
    <s v="P012"/>
  </r>
  <r>
    <n v="334"/>
    <s v="CUST1040"/>
    <d v="2024-03-20T00:00:00"/>
    <x v="0"/>
    <x v="3"/>
    <x v="9"/>
    <n v="4"/>
    <n v="3202.63"/>
    <n v="12810.52"/>
    <s v="P010"/>
  </r>
  <r>
    <n v="335"/>
    <s v="CUST1038"/>
    <d v="2024-09-29T00:00:00"/>
    <x v="3"/>
    <x v="3"/>
    <x v="14"/>
    <n v="4"/>
    <n v="3313.05"/>
    <n v="13252.2"/>
    <s v="P015"/>
  </r>
  <r>
    <n v="336"/>
    <s v="CUST1092"/>
    <d v="2024-08-18T00:00:00"/>
    <x v="2"/>
    <x v="0"/>
    <x v="13"/>
    <n v="3"/>
    <n v="1902.02"/>
    <n v="5706.06"/>
    <s v="P014"/>
  </r>
  <r>
    <n v="337"/>
    <s v="CUST1055"/>
    <d v="2024-01-14T00:00:00"/>
    <x v="1"/>
    <x v="0"/>
    <x v="3"/>
    <n v="6"/>
    <n v="4822.7299999999996"/>
    <n v="28936.38"/>
    <s v="P004"/>
  </r>
  <r>
    <n v="338"/>
    <s v="CUST1010"/>
    <d v="2024-03-02T00:00:00"/>
    <x v="1"/>
    <x v="0"/>
    <x v="2"/>
    <n v="6"/>
    <n v="1373.08"/>
    <n v="8238.48"/>
    <s v="P003"/>
  </r>
  <r>
    <n v="339"/>
    <s v="CUST1053"/>
    <d v="2024-03-05T00:00:00"/>
    <x v="3"/>
    <x v="0"/>
    <x v="2"/>
    <n v="2"/>
    <n v="3183.56"/>
    <n v="6367.12"/>
    <s v="P003"/>
  </r>
  <r>
    <n v="340"/>
    <s v="CUST1011"/>
    <d v="2024-06-21T00:00:00"/>
    <x v="0"/>
    <x v="3"/>
    <x v="9"/>
    <n v="3"/>
    <n v="1402.67"/>
    <n v="4208.01"/>
    <s v="P010"/>
  </r>
  <r>
    <n v="341"/>
    <s v="CUST1068"/>
    <d v="2024-07-09T00:00:00"/>
    <x v="3"/>
    <x v="3"/>
    <x v="14"/>
    <n v="7"/>
    <n v="831.27"/>
    <n v="5818.89"/>
    <s v="P015"/>
  </r>
  <r>
    <n v="342"/>
    <s v="CUST1093"/>
    <d v="2024-02-03T00:00:00"/>
    <x v="0"/>
    <x v="3"/>
    <x v="8"/>
    <n v="8"/>
    <n v="4072.36"/>
    <n v="32578.880000000001"/>
    <s v="P009"/>
  </r>
  <r>
    <n v="343"/>
    <s v="CUST1017"/>
    <d v="2024-02-11T00:00:00"/>
    <x v="3"/>
    <x v="2"/>
    <x v="12"/>
    <n v="1"/>
    <n v="4781.1400000000003"/>
    <n v="4781.1400000000003"/>
    <s v="P013"/>
  </r>
  <r>
    <n v="344"/>
    <s v="CUST1029"/>
    <d v="2024-04-29T00:00:00"/>
    <x v="3"/>
    <x v="4"/>
    <x v="19"/>
    <n v="2"/>
    <n v="2244.2600000000002"/>
    <n v="4488.5200000000004"/>
    <s v="P020"/>
  </r>
  <r>
    <n v="345"/>
    <s v="CUST1075"/>
    <d v="2024-04-06T00:00:00"/>
    <x v="2"/>
    <x v="2"/>
    <x v="5"/>
    <n v="8"/>
    <n v="2361.2399999999998"/>
    <n v="18889.919999999998"/>
    <s v="P006"/>
  </r>
  <r>
    <n v="346"/>
    <s v="CUST1017"/>
    <d v="2024-09-03T00:00:00"/>
    <x v="2"/>
    <x v="1"/>
    <x v="16"/>
    <n v="8"/>
    <n v="1212.1300000000001"/>
    <n v="9697.0400000000009"/>
    <s v="P017"/>
  </r>
  <r>
    <n v="347"/>
    <s v="CUST1008"/>
    <d v="2024-06-21T00:00:00"/>
    <x v="1"/>
    <x v="0"/>
    <x v="13"/>
    <n v="1"/>
    <n v="2272.04"/>
    <n v="2272.04"/>
    <s v="P014"/>
  </r>
  <r>
    <n v="348"/>
    <s v="CUST1024"/>
    <d v="2024-07-18T00:00:00"/>
    <x v="3"/>
    <x v="1"/>
    <x v="11"/>
    <n v="3"/>
    <n v="449.16"/>
    <n v="1347.48"/>
    <s v="P012"/>
  </r>
  <r>
    <n v="349"/>
    <s v="CUST1100"/>
    <d v="2024-01-17T00:00:00"/>
    <x v="3"/>
    <x v="3"/>
    <x v="9"/>
    <n v="8"/>
    <n v="1830.93"/>
    <n v="14647.44"/>
    <s v="P010"/>
  </r>
  <r>
    <n v="350"/>
    <s v="CUST1058"/>
    <d v="2024-05-18T00:00:00"/>
    <x v="0"/>
    <x v="1"/>
    <x v="4"/>
    <n v="3"/>
    <n v="1007.46"/>
    <n v="3022.38"/>
    <s v="P005"/>
  </r>
  <r>
    <n v="351"/>
    <s v="CUST1025"/>
    <d v="2024-09-17T00:00:00"/>
    <x v="3"/>
    <x v="2"/>
    <x v="5"/>
    <n v="1"/>
    <n v="1547.68"/>
    <n v="1547.68"/>
    <s v="P006"/>
  </r>
  <r>
    <n v="352"/>
    <s v="CUST1062"/>
    <d v="2024-02-18T00:00:00"/>
    <x v="0"/>
    <x v="3"/>
    <x v="8"/>
    <n v="9"/>
    <n v="3255.13"/>
    <n v="29296.17"/>
    <s v="P009"/>
  </r>
  <r>
    <n v="353"/>
    <s v="CUST1002"/>
    <d v="2024-09-11T00:00:00"/>
    <x v="2"/>
    <x v="2"/>
    <x v="12"/>
    <n v="4"/>
    <n v="1534.83"/>
    <n v="6139.32"/>
    <s v="P013"/>
  </r>
  <r>
    <n v="354"/>
    <s v="CUST1055"/>
    <d v="2024-09-25T00:00:00"/>
    <x v="3"/>
    <x v="3"/>
    <x v="8"/>
    <n v="1"/>
    <n v="4647.6099999999997"/>
    <n v="4647.6099999999997"/>
    <s v="P009"/>
  </r>
  <r>
    <n v="355"/>
    <s v="CUST1030"/>
    <d v="2024-06-01T00:00:00"/>
    <x v="0"/>
    <x v="1"/>
    <x v="16"/>
    <n v="9"/>
    <n v="902.05"/>
    <n v="8118.45"/>
    <s v="P017"/>
  </r>
  <r>
    <n v="356"/>
    <s v="CUST1099"/>
    <d v="2024-07-31T00:00:00"/>
    <x v="0"/>
    <x v="1"/>
    <x v="16"/>
    <n v="1"/>
    <n v="3264.47"/>
    <n v="3264.47"/>
    <s v="P017"/>
  </r>
  <r>
    <n v="357"/>
    <s v="CUST1021"/>
    <d v="2024-05-01T00:00:00"/>
    <x v="0"/>
    <x v="4"/>
    <x v="10"/>
    <n v="9"/>
    <n v="2765.68"/>
    <n v="24891.119999999999"/>
    <s v="P011"/>
  </r>
  <r>
    <n v="358"/>
    <s v="CUST1089"/>
    <d v="2024-05-28T00:00:00"/>
    <x v="2"/>
    <x v="3"/>
    <x v="14"/>
    <n v="6"/>
    <n v="3790.62"/>
    <n v="22743.72"/>
    <s v="P015"/>
  </r>
  <r>
    <n v="359"/>
    <s v="CUST1085"/>
    <d v="2024-01-22T00:00:00"/>
    <x v="0"/>
    <x v="0"/>
    <x v="3"/>
    <n v="2"/>
    <n v="628.91999999999996"/>
    <n v="1257.8399999999999"/>
    <s v="P004"/>
  </r>
  <r>
    <n v="360"/>
    <s v="CUST1022"/>
    <d v="2024-10-09T00:00:00"/>
    <x v="2"/>
    <x v="1"/>
    <x v="4"/>
    <n v="8"/>
    <n v="1777.68"/>
    <n v="14221.44"/>
    <s v="P005"/>
  </r>
  <r>
    <n v="361"/>
    <s v="CUST1019"/>
    <d v="2024-06-19T00:00:00"/>
    <x v="3"/>
    <x v="0"/>
    <x v="3"/>
    <n v="8"/>
    <n v="3098.51"/>
    <n v="24788.080000000002"/>
    <s v="P004"/>
  </r>
  <r>
    <n v="362"/>
    <s v="CUST1008"/>
    <d v="2024-01-23T00:00:00"/>
    <x v="3"/>
    <x v="3"/>
    <x v="6"/>
    <n v="9"/>
    <n v="3829.5"/>
    <n v="34465.5"/>
    <s v="P007"/>
  </r>
  <r>
    <n v="363"/>
    <s v="CUST1004"/>
    <d v="2024-07-04T00:00:00"/>
    <x v="0"/>
    <x v="4"/>
    <x v="10"/>
    <n v="5"/>
    <n v="4419.1099999999997"/>
    <n v="22095.55"/>
    <s v="P011"/>
  </r>
  <r>
    <n v="364"/>
    <s v="CUST1046"/>
    <d v="2024-04-13T00:00:00"/>
    <x v="1"/>
    <x v="2"/>
    <x v="5"/>
    <n v="9"/>
    <n v="2819.92"/>
    <n v="25379.279999999999"/>
    <s v="P006"/>
  </r>
  <r>
    <n v="365"/>
    <s v="CUST1009"/>
    <d v="2024-08-18T00:00:00"/>
    <x v="1"/>
    <x v="1"/>
    <x v="16"/>
    <n v="9"/>
    <n v="1938.77"/>
    <n v="17448.93"/>
    <s v="P017"/>
  </r>
  <r>
    <n v="366"/>
    <s v="CUST1078"/>
    <d v="2024-03-26T00:00:00"/>
    <x v="2"/>
    <x v="2"/>
    <x v="5"/>
    <n v="6"/>
    <n v="4180.13"/>
    <n v="25080.78"/>
    <s v="P006"/>
  </r>
  <r>
    <n v="367"/>
    <s v="CUST1016"/>
    <d v="2024-01-14T00:00:00"/>
    <x v="3"/>
    <x v="2"/>
    <x v="12"/>
    <n v="9"/>
    <n v="3424.06"/>
    <n v="30816.54"/>
    <s v="P013"/>
  </r>
  <r>
    <n v="368"/>
    <s v="CUST1004"/>
    <d v="2024-08-30T00:00:00"/>
    <x v="1"/>
    <x v="1"/>
    <x v="11"/>
    <n v="4"/>
    <n v="1988.34"/>
    <n v="7953.36"/>
    <s v="P012"/>
  </r>
  <r>
    <n v="369"/>
    <s v="CUST1054"/>
    <d v="2024-01-20T00:00:00"/>
    <x v="2"/>
    <x v="1"/>
    <x v="16"/>
    <n v="5"/>
    <n v="3348.91"/>
    <n v="16744.55"/>
    <s v="P017"/>
  </r>
  <r>
    <n v="370"/>
    <s v="CUST1017"/>
    <d v="2024-07-20T00:00:00"/>
    <x v="2"/>
    <x v="3"/>
    <x v="14"/>
    <n v="9"/>
    <n v="1999.6"/>
    <n v="17996.400000000001"/>
    <s v="P015"/>
  </r>
  <r>
    <n v="371"/>
    <s v="CUST1080"/>
    <d v="2024-04-28T00:00:00"/>
    <x v="1"/>
    <x v="3"/>
    <x v="9"/>
    <n v="3"/>
    <n v="417.78"/>
    <n v="1253.3399999999999"/>
    <s v="P010"/>
  </r>
  <r>
    <n v="372"/>
    <s v="CUST1034"/>
    <d v="2024-07-04T00:00:00"/>
    <x v="1"/>
    <x v="3"/>
    <x v="14"/>
    <n v="8"/>
    <n v="3057.09"/>
    <n v="24456.720000000001"/>
    <s v="P015"/>
  </r>
  <r>
    <n v="373"/>
    <s v="CUST1083"/>
    <d v="2024-06-06T00:00:00"/>
    <x v="2"/>
    <x v="1"/>
    <x v="4"/>
    <n v="3"/>
    <n v="2541.4499999999998"/>
    <n v="7624.35"/>
    <s v="P005"/>
  </r>
  <r>
    <n v="374"/>
    <s v="CUST1100"/>
    <d v="2024-05-31T00:00:00"/>
    <x v="3"/>
    <x v="3"/>
    <x v="8"/>
    <n v="6"/>
    <n v="1128.23"/>
    <n v="6769.38"/>
    <s v="P009"/>
  </r>
  <r>
    <n v="375"/>
    <s v="CUST1097"/>
    <d v="2024-07-10T00:00:00"/>
    <x v="1"/>
    <x v="0"/>
    <x v="13"/>
    <n v="7"/>
    <n v="3703.98"/>
    <n v="25927.86"/>
    <s v="P014"/>
  </r>
  <r>
    <n v="376"/>
    <s v="CUST1045"/>
    <d v="2024-05-25T00:00:00"/>
    <x v="1"/>
    <x v="3"/>
    <x v="9"/>
    <n v="9"/>
    <n v="4672.26"/>
    <n v="42050.34"/>
    <s v="P010"/>
  </r>
  <r>
    <n v="377"/>
    <s v="CUST1075"/>
    <d v="2024-06-09T00:00:00"/>
    <x v="3"/>
    <x v="3"/>
    <x v="14"/>
    <n v="6"/>
    <n v="4956.5200000000004"/>
    <n v="29739.119999999999"/>
    <s v="P015"/>
  </r>
  <r>
    <n v="378"/>
    <s v="CUST1050"/>
    <d v="2024-05-16T00:00:00"/>
    <x v="2"/>
    <x v="0"/>
    <x v="3"/>
    <n v="4"/>
    <n v="1874.95"/>
    <n v="7499.8"/>
    <s v="P004"/>
  </r>
  <r>
    <n v="379"/>
    <s v="CUST1081"/>
    <d v="2024-09-15T00:00:00"/>
    <x v="3"/>
    <x v="1"/>
    <x v="11"/>
    <n v="6"/>
    <n v="1438.05"/>
    <n v="8628.2999999999993"/>
    <s v="P012"/>
  </r>
  <r>
    <n v="380"/>
    <s v="CUST1069"/>
    <d v="2024-02-20T00:00:00"/>
    <x v="3"/>
    <x v="1"/>
    <x v="16"/>
    <n v="3"/>
    <n v="2205.3200000000002"/>
    <n v="6615.96"/>
    <s v="P017"/>
  </r>
  <r>
    <n v="381"/>
    <s v="CUST1090"/>
    <d v="2024-02-18T00:00:00"/>
    <x v="3"/>
    <x v="2"/>
    <x v="7"/>
    <n v="5"/>
    <n v="3559.49"/>
    <n v="17797.45"/>
    <s v="P008"/>
  </r>
  <r>
    <n v="382"/>
    <s v="CUST1100"/>
    <d v="2024-09-16T00:00:00"/>
    <x v="2"/>
    <x v="2"/>
    <x v="17"/>
    <n v="1"/>
    <n v="3923.04"/>
    <n v="3923.04"/>
    <s v="P018"/>
  </r>
  <r>
    <n v="383"/>
    <s v="CUST1024"/>
    <d v="2024-10-23T00:00:00"/>
    <x v="2"/>
    <x v="3"/>
    <x v="14"/>
    <n v="9"/>
    <n v="3781.74"/>
    <n v="34035.660000000003"/>
    <s v="P015"/>
  </r>
  <r>
    <n v="384"/>
    <s v="CUST1035"/>
    <d v="2024-02-05T00:00:00"/>
    <x v="3"/>
    <x v="3"/>
    <x v="8"/>
    <n v="6"/>
    <n v="1382.36"/>
    <n v="8294.16"/>
    <s v="P009"/>
  </r>
  <r>
    <n v="385"/>
    <s v="CUST1089"/>
    <d v="2024-08-07T00:00:00"/>
    <x v="2"/>
    <x v="2"/>
    <x v="7"/>
    <n v="6"/>
    <n v="2201.5500000000002"/>
    <n v="13209.3"/>
    <s v="P008"/>
  </r>
  <r>
    <n v="386"/>
    <s v="CUST1084"/>
    <d v="2024-07-23T00:00:00"/>
    <x v="2"/>
    <x v="3"/>
    <x v="9"/>
    <n v="4"/>
    <n v="264.70999999999998"/>
    <n v="1058.8399999999999"/>
    <s v="P010"/>
  </r>
  <r>
    <n v="387"/>
    <s v="CUST1091"/>
    <d v="2024-09-06T00:00:00"/>
    <x v="1"/>
    <x v="4"/>
    <x v="19"/>
    <n v="4"/>
    <n v="1644.43"/>
    <n v="6577.72"/>
    <s v="P020"/>
  </r>
  <r>
    <n v="388"/>
    <s v="CUST1088"/>
    <d v="2024-01-07T00:00:00"/>
    <x v="2"/>
    <x v="2"/>
    <x v="7"/>
    <n v="8"/>
    <n v="2786.77"/>
    <n v="22294.16"/>
    <s v="P008"/>
  </r>
  <r>
    <n v="389"/>
    <s v="CUST1057"/>
    <d v="2024-05-22T00:00:00"/>
    <x v="0"/>
    <x v="0"/>
    <x v="2"/>
    <n v="8"/>
    <n v="1374.77"/>
    <n v="10998.16"/>
    <s v="P003"/>
  </r>
  <r>
    <n v="390"/>
    <s v="CUST1090"/>
    <d v="2024-06-13T00:00:00"/>
    <x v="2"/>
    <x v="0"/>
    <x v="2"/>
    <n v="5"/>
    <n v="3305.46"/>
    <n v="16527.3"/>
    <s v="P003"/>
  </r>
  <r>
    <n v="391"/>
    <s v="CUST1033"/>
    <d v="2024-06-09T00:00:00"/>
    <x v="2"/>
    <x v="0"/>
    <x v="13"/>
    <n v="9"/>
    <n v="4268.0200000000004"/>
    <n v="38412.18"/>
    <s v="P014"/>
  </r>
  <r>
    <n v="392"/>
    <s v="CUST1043"/>
    <d v="2024-03-21T00:00:00"/>
    <x v="0"/>
    <x v="0"/>
    <x v="3"/>
    <n v="2"/>
    <n v="2079.4899999999998"/>
    <n v="4158.9799999999996"/>
    <s v="P004"/>
  </r>
  <r>
    <n v="393"/>
    <s v="CUST1070"/>
    <d v="2024-06-17T00:00:00"/>
    <x v="1"/>
    <x v="4"/>
    <x v="19"/>
    <n v="2"/>
    <n v="500.45"/>
    <n v="1000.9"/>
    <s v="P020"/>
  </r>
  <r>
    <n v="394"/>
    <s v="CUST1057"/>
    <d v="2024-04-07T00:00:00"/>
    <x v="3"/>
    <x v="2"/>
    <x v="12"/>
    <n v="5"/>
    <n v="4733.92"/>
    <n v="23669.599999999999"/>
    <s v="P013"/>
  </r>
  <r>
    <n v="395"/>
    <s v="CUST1086"/>
    <d v="2024-03-06T00:00:00"/>
    <x v="2"/>
    <x v="2"/>
    <x v="7"/>
    <n v="3"/>
    <n v="3289.77"/>
    <n v="9869.31"/>
    <s v="P008"/>
  </r>
  <r>
    <n v="396"/>
    <s v="CUST1063"/>
    <d v="2024-03-16T00:00:00"/>
    <x v="0"/>
    <x v="3"/>
    <x v="6"/>
    <n v="3"/>
    <n v="354.59"/>
    <n v="1063.77"/>
    <s v="P007"/>
  </r>
  <r>
    <n v="397"/>
    <s v="CUST1086"/>
    <d v="2024-02-18T00:00:00"/>
    <x v="0"/>
    <x v="0"/>
    <x v="13"/>
    <n v="4"/>
    <n v="3808.08"/>
    <n v="15232.32"/>
    <s v="P014"/>
  </r>
  <r>
    <n v="398"/>
    <s v="CUST1014"/>
    <d v="2024-05-22T00:00:00"/>
    <x v="0"/>
    <x v="0"/>
    <x v="0"/>
    <n v="6"/>
    <n v="891.94"/>
    <n v="5351.64"/>
    <s v="P001"/>
  </r>
  <r>
    <n v="399"/>
    <s v="CUST1025"/>
    <d v="2024-06-16T00:00:00"/>
    <x v="2"/>
    <x v="3"/>
    <x v="8"/>
    <n v="1"/>
    <n v="233.12"/>
    <n v="233.12"/>
    <s v="P009"/>
  </r>
  <r>
    <n v="400"/>
    <s v="CUST1099"/>
    <d v="2024-09-04T00:00:00"/>
    <x v="2"/>
    <x v="1"/>
    <x v="1"/>
    <n v="1"/>
    <n v="2014.57"/>
    <n v="2014.57"/>
    <s v="P002"/>
  </r>
  <r>
    <n v="401"/>
    <s v="CUST1043"/>
    <d v="2024-09-18T00:00:00"/>
    <x v="1"/>
    <x v="3"/>
    <x v="6"/>
    <n v="9"/>
    <n v="2047.17"/>
    <n v="18424.53"/>
    <s v="P007"/>
  </r>
  <r>
    <n v="402"/>
    <s v="CUST1092"/>
    <d v="2024-07-15T00:00:00"/>
    <x v="1"/>
    <x v="1"/>
    <x v="1"/>
    <n v="8"/>
    <n v="1506.98"/>
    <n v="12055.84"/>
    <s v="P002"/>
  </r>
  <r>
    <n v="403"/>
    <s v="CUST1047"/>
    <d v="2024-10-23T00:00:00"/>
    <x v="0"/>
    <x v="0"/>
    <x v="3"/>
    <n v="8"/>
    <n v="4009.78"/>
    <n v="32078.240000000002"/>
    <s v="P004"/>
  </r>
  <r>
    <n v="404"/>
    <s v="CUST1002"/>
    <d v="2024-08-25T00:00:00"/>
    <x v="0"/>
    <x v="2"/>
    <x v="5"/>
    <n v="4"/>
    <n v="2833.32"/>
    <n v="11333.28"/>
    <s v="P006"/>
  </r>
  <r>
    <n v="405"/>
    <s v="CUST1040"/>
    <d v="2024-09-19T00:00:00"/>
    <x v="0"/>
    <x v="1"/>
    <x v="11"/>
    <n v="3"/>
    <n v="4496.21"/>
    <n v="13488.63"/>
    <s v="P012"/>
  </r>
  <r>
    <n v="406"/>
    <s v="CUST1070"/>
    <d v="2024-08-07T00:00:00"/>
    <x v="3"/>
    <x v="0"/>
    <x v="13"/>
    <n v="5"/>
    <n v="2257.58"/>
    <n v="11287.9"/>
    <s v="P014"/>
  </r>
  <r>
    <n v="407"/>
    <s v="CUST1063"/>
    <d v="2024-09-02T00:00:00"/>
    <x v="1"/>
    <x v="4"/>
    <x v="10"/>
    <n v="7"/>
    <n v="4838.92"/>
    <n v="33872.44"/>
    <s v="P011"/>
  </r>
  <r>
    <n v="408"/>
    <s v="CUST1095"/>
    <d v="2024-04-18T00:00:00"/>
    <x v="1"/>
    <x v="0"/>
    <x v="3"/>
    <n v="2"/>
    <n v="913.18"/>
    <n v="1826.36"/>
    <s v="P004"/>
  </r>
  <r>
    <n v="409"/>
    <s v="CUST1068"/>
    <d v="2024-02-28T00:00:00"/>
    <x v="1"/>
    <x v="1"/>
    <x v="11"/>
    <n v="9"/>
    <n v="555.85"/>
    <n v="5002.6499999999996"/>
    <s v="P012"/>
  </r>
  <r>
    <n v="410"/>
    <s v="CUST1092"/>
    <d v="2024-10-07T00:00:00"/>
    <x v="0"/>
    <x v="2"/>
    <x v="5"/>
    <n v="5"/>
    <n v="4869.9399999999996"/>
    <n v="24349.7"/>
    <s v="P006"/>
  </r>
  <r>
    <n v="411"/>
    <s v="CUST1011"/>
    <d v="2024-09-21T00:00:00"/>
    <x v="0"/>
    <x v="2"/>
    <x v="5"/>
    <n v="3"/>
    <n v="3821.95"/>
    <n v="11465.85"/>
    <s v="P006"/>
  </r>
  <r>
    <n v="412"/>
    <s v="CUST1030"/>
    <d v="2024-07-31T00:00:00"/>
    <x v="0"/>
    <x v="2"/>
    <x v="5"/>
    <n v="3"/>
    <n v="4411.13"/>
    <n v="13233.39"/>
    <s v="P006"/>
  </r>
  <r>
    <n v="413"/>
    <s v="CUST1052"/>
    <d v="2024-10-03T00:00:00"/>
    <x v="0"/>
    <x v="2"/>
    <x v="5"/>
    <n v="1"/>
    <n v="1275.3800000000001"/>
    <n v="1275.3800000000001"/>
    <s v="P006"/>
  </r>
  <r>
    <n v="414"/>
    <s v="CUST1057"/>
    <d v="2024-02-03T00:00:00"/>
    <x v="3"/>
    <x v="1"/>
    <x v="4"/>
    <n v="2"/>
    <n v="3769.25"/>
    <n v="7538.5"/>
    <s v="P005"/>
  </r>
  <r>
    <n v="415"/>
    <s v="CUST1016"/>
    <d v="2024-10-05T00:00:00"/>
    <x v="0"/>
    <x v="4"/>
    <x v="19"/>
    <n v="3"/>
    <n v="252.47"/>
    <n v="757.41"/>
    <s v="P020"/>
  </r>
  <r>
    <n v="416"/>
    <s v="CUST1020"/>
    <d v="2024-03-06T00:00:00"/>
    <x v="1"/>
    <x v="3"/>
    <x v="6"/>
    <n v="7"/>
    <n v="918.95"/>
    <n v="6432.65"/>
    <s v="P007"/>
  </r>
  <r>
    <n v="417"/>
    <s v="CUST1015"/>
    <d v="2024-05-03T00:00:00"/>
    <x v="3"/>
    <x v="1"/>
    <x v="1"/>
    <n v="9"/>
    <n v="1156.0999999999999"/>
    <n v="10404.9"/>
    <s v="P002"/>
  </r>
  <r>
    <n v="418"/>
    <s v="CUST1014"/>
    <d v="2024-07-09T00:00:00"/>
    <x v="3"/>
    <x v="1"/>
    <x v="11"/>
    <n v="5"/>
    <n v="2100.6999999999998"/>
    <n v="10503.5"/>
    <s v="P012"/>
  </r>
  <r>
    <n v="419"/>
    <s v="CUST1006"/>
    <d v="2024-02-08T00:00:00"/>
    <x v="3"/>
    <x v="1"/>
    <x v="1"/>
    <n v="2"/>
    <n v="3288.77"/>
    <n v="6577.54"/>
    <s v="P002"/>
  </r>
  <r>
    <n v="420"/>
    <s v="CUST1038"/>
    <d v="2024-09-07T00:00:00"/>
    <x v="1"/>
    <x v="1"/>
    <x v="4"/>
    <n v="2"/>
    <n v="2290.5700000000002"/>
    <n v="4581.1400000000003"/>
    <s v="P005"/>
  </r>
  <r>
    <n v="421"/>
    <s v="CUST1078"/>
    <d v="2024-05-21T00:00:00"/>
    <x v="0"/>
    <x v="0"/>
    <x v="13"/>
    <n v="3"/>
    <n v="2122.5300000000002"/>
    <n v="6367.59"/>
    <s v="P014"/>
  </r>
  <r>
    <n v="422"/>
    <s v="CUST1087"/>
    <d v="2024-03-24T00:00:00"/>
    <x v="3"/>
    <x v="4"/>
    <x v="10"/>
    <n v="8"/>
    <n v="233.16"/>
    <n v="1865.28"/>
    <s v="P011"/>
  </r>
  <r>
    <n v="423"/>
    <s v="CUST1019"/>
    <d v="2024-05-29T00:00:00"/>
    <x v="0"/>
    <x v="4"/>
    <x v="15"/>
    <n v="3"/>
    <n v="4147.59"/>
    <n v="12442.77"/>
    <s v="P016"/>
  </r>
  <r>
    <n v="424"/>
    <s v="CUST1073"/>
    <d v="2024-07-19T00:00:00"/>
    <x v="0"/>
    <x v="3"/>
    <x v="9"/>
    <n v="7"/>
    <n v="3144.59"/>
    <n v="22012.13"/>
    <s v="P010"/>
  </r>
  <r>
    <n v="425"/>
    <s v="CUST1014"/>
    <d v="2024-09-07T00:00:00"/>
    <x v="0"/>
    <x v="4"/>
    <x v="10"/>
    <n v="3"/>
    <n v="4376.49"/>
    <n v="13129.47"/>
    <s v="P011"/>
  </r>
  <r>
    <n v="426"/>
    <s v="CUST1030"/>
    <d v="2024-04-29T00:00:00"/>
    <x v="2"/>
    <x v="0"/>
    <x v="3"/>
    <n v="4"/>
    <n v="573.02"/>
    <n v="2292.08"/>
    <s v="P004"/>
  </r>
  <r>
    <n v="427"/>
    <s v="CUST1075"/>
    <d v="2024-09-21T00:00:00"/>
    <x v="0"/>
    <x v="4"/>
    <x v="10"/>
    <n v="4"/>
    <n v="1576.2"/>
    <n v="6304.8"/>
    <s v="P011"/>
  </r>
  <r>
    <n v="428"/>
    <s v="CUST1068"/>
    <d v="2024-08-14T00:00:00"/>
    <x v="3"/>
    <x v="1"/>
    <x v="16"/>
    <n v="9"/>
    <n v="335.9"/>
    <n v="3023.1"/>
    <s v="P017"/>
  </r>
  <r>
    <n v="429"/>
    <s v="CUST1055"/>
    <d v="2024-09-20T00:00:00"/>
    <x v="2"/>
    <x v="4"/>
    <x v="19"/>
    <n v="6"/>
    <n v="4472.28"/>
    <n v="26833.68"/>
    <s v="P020"/>
  </r>
  <r>
    <n v="430"/>
    <s v="CUST1050"/>
    <d v="2024-01-16T00:00:00"/>
    <x v="3"/>
    <x v="4"/>
    <x v="10"/>
    <n v="3"/>
    <n v="1412.11"/>
    <n v="4236.33"/>
    <s v="P011"/>
  </r>
  <r>
    <n v="431"/>
    <s v="CUST1044"/>
    <d v="2024-09-11T00:00:00"/>
    <x v="3"/>
    <x v="0"/>
    <x v="13"/>
    <n v="4"/>
    <n v="1179.0999999999999"/>
    <n v="4716.3999999999996"/>
    <s v="P014"/>
  </r>
  <r>
    <n v="432"/>
    <s v="CUST1088"/>
    <d v="2024-07-19T00:00:00"/>
    <x v="3"/>
    <x v="4"/>
    <x v="10"/>
    <n v="3"/>
    <n v="4163.51"/>
    <n v="12490.53"/>
    <s v="P011"/>
  </r>
  <r>
    <n v="433"/>
    <s v="CUST1076"/>
    <d v="2024-03-05T00:00:00"/>
    <x v="0"/>
    <x v="0"/>
    <x v="0"/>
    <n v="8"/>
    <n v="1653.04"/>
    <n v="13224.32"/>
    <s v="P001"/>
  </r>
  <r>
    <n v="434"/>
    <s v="CUST1021"/>
    <d v="2024-06-22T00:00:00"/>
    <x v="1"/>
    <x v="4"/>
    <x v="15"/>
    <n v="4"/>
    <n v="2272.56"/>
    <n v="9090.24"/>
    <s v="P016"/>
  </r>
  <r>
    <n v="435"/>
    <s v="CUST1071"/>
    <d v="2024-02-07T00:00:00"/>
    <x v="0"/>
    <x v="4"/>
    <x v="19"/>
    <n v="3"/>
    <n v="1263.42"/>
    <n v="3790.26"/>
    <s v="P020"/>
  </r>
  <r>
    <n v="436"/>
    <s v="CUST1066"/>
    <d v="2024-01-28T00:00:00"/>
    <x v="0"/>
    <x v="3"/>
    <x v="9"/>
    <n v="3"/>
    <n v="3295.9"/>
    <n v="9887.7000000000007"/>
    <s v="P010"/>
  </r>
  <r>
    <n v="437"/>
    <s v="CUST1006"/>
    <d v="2024-06-10T00:00:00"/>
    <x v="1"/>
    <x v="4"/>
    <x v="19"/>
    <n v="8"/>
    <n v="3207.11"/>
    <n v="25656.880000000001"/>
    <s v="P020"/>
  </r>
  <r>
    <n v="438"/>
    <s v="CUST1008"/>
    <d v="2024-08-01T00:00:00"/>
    <x v="3"/>
    <x v="2"/>
    <x v="12"/>
    <n v="6"/>
    <n v="323.68"/>
    <n v="1942.08"/>
    <s v="P013"/>
  </r>
  <r>
    <n v="439"/>
    <s v="CUST1048"/>
    <d v="2024-04-02T00:00:00"/>
    <x v="3"/>
    <x v="4"/>
    <x v="15"/>
    <n v="8"/>
    <n v="2401.7399999999998"/>
    <n v="19213.919999999998"/>
    <s v="P016"/>
  </r>
  <r>
    <n v="440"/>
    <s v="CUST1062"/>
    <d v="2024-08-24T00:00:00"/>
    <x v="0"/>
    <x v="4"/>
    <x v="19"/>
    <n v="6"/>
    <n v="4285.2700000000004"/>
    <n v="25711.62"/>
    <s v="P020"/>
  </r>
  <r>
    <n v="441"/>
    <s v="CUST1085"/>
    <d v="2024-05-15T00:00:00"/>
    <x v="1"/>
    <x v="3"/>
    <x v="14"/>
    <n v="1"/>
    <n v="1760.42"/>
    <n v="1760.42"/>
    <s v="P015"/>
  </r>
  <r>
    <n v="442"/>
    <s v="CUST1009"/>
    <d v="2024-09-01T00:00:00"/>
    <x v="3"/>
    <x v="2"/>
    <x v="17"/>
    <n v="6"/>
    <n v="4665.59"/>
    <n v="27993.54"/>
    <s v="P018"/>
  </r>
  <r>
    <n v="443"/>
    <s v="CUST1059"/>
    <d v="2024-02-06T00:00:00"/>
    <x v="3"/>
    <x v="4"/>
    <x v="19"/>
    <n v="8"/>
    <n v="2704.84"/>
    <n v="21638.720000000001"/>
    <s v="P020"/>
  </r>
  <r>
    <n v="444"/>
    <s v="CUST1046"/>
    <d v="2024-07-01T00:00:00"/>
    <x v="3"/>
    <x v="0"/>
    <x v="13"/>
    <n v="3"/>
    <n v="2307.9299999999998"/>
    <n v="6923.79"/>
    <s v="P014"/>
  </r>
  <r>
    <n v="445"/>
    <s v="CUST1012"/>
    <d v="2024-02-14T00:00:00"/>
    <x v="3"/>
    <x v="3"/>
    <x v="6"/>
    <n v="8"/>
    <n v="4547.29"/>
    <n v="36378.32"/>
    <s v="P007"/>
  </r>
  <r>
    <n v="446"/>
    <s v="CUST1069"/>
    <d v="2024-08-27T00:00:00"/>
    <x v="3"/>
    <x v="0"/>
    <x v="2"/>
    <n v="7"/>
    <n v="4774.76"/>
    <n v="33423.32"/>
    <s v="P003"/>
  </r>
  <r>
    <n v="447"/>
    <s v="CUST1047"/>
    <d v="2024-01-08T00:00:00"/>
    <x v="3"/>
    <x v="1"/>
    <x v="16"/>
    <n v="7"/>
    <n v="3616.1"/>
    <n v="25312.7"/>
    <s v="P017"/>
  </r>
  <r>
    <n v="448"/>
    <s v="CUST1094"/>
    <d v="2024-08-02T00:00:00"/>
    <x v="3"/>
    <x v="3"/>
    <x v="8"/>
    <n v="2"/>
    <n v="660.99"/>
    <n v="1321.98"/>
    <s v="P009"/>
  </r>
  <r>
    <n v="449"/>
    <s v="CUST1028"/>
    <d v="2024-06-09T00:00:00"/>
    <x v="1"/>
    <x v="3"/>
    <x v="8"/>
    <n v="5"/>
    <n v="693.02"/>
    <n v="3465.1"/>
    <s v="P009"/>
  </r>
  <r>
    <n v="450"/>
    <s v="CUST1039"/>
    <d v="2024-03-24T00:00:00"/>
    <x v="3"/>
    <x v="4"/>
    <x v="10"/>
    <n v="3"/>
    <n v="1838.38"/>
    <n v="5515.14"/>
    <s v="P011"/>
  </r>
  <r>
    <n v="451"/>
    <s v="CUST1077"/>
    <d v="2024-09-14T00:00:00"/>
    <x v="1"/>
    <x v="0"/>
    <x v="3"/>
    <n v="2"/>
    <n v="4451.3900000000003"/>
    <n v="8902.7800000000007"/>
    <s v="P004"/>
  </r>
  <r>
    <n v="452"/>
    <s v="CUST1039"/>
    <d v="2024-09-22T00:00:00"/>
    <x v="2"/>
    <x v="2"/>
    <x v="17"/>
    <n v="6"/>
    <n v="667.11"/>
    <n v="4002.66"/>
    <s v="P018"/>
  </r>
  <r>
    <n v="453"/>
    <s v="CUST1038"/>
    <d v="2024-01-28T00:00:00"/>
    <x v="1"/>
    <x v="3"/>
    <x v="8"/>
    <n v="5"/>
    <n v="4522.0200000000004"/>
    <n v="22610.1"/>
    <s v="P009"/>
  </r>
  <r>
    <n v="454"/>
    <s v="CUST1055"/>
    <d v="2024-10-22T00:00:00"/>
    <x v="2"/>
    <x v="4"/>
    <x v="19"/>
    <n v="3"/>
    <n v="2299.38"/>
    <n v="6898.14"/>
    <s v="P020"/>
  </r>
  <r>
    <n v="455"/>
    <s v="CUST1038"/>
    <d v="2024-07-31T00:00:00"/>
    <x v="2"/>
    <x v="4"/>
    <x v="15"/>
    <n v="9"/>
    <n v="3672.95"/>
    <n v="33056.550000000003"/>
    <s v="P016"/>
  </r>
  <r>
    <n v="456"/>
    <s v="CUST1073"/>
    <d v="2024-10-10T00:00:00"/>
    <x v="3"/>
    <x v="1"/>
    <x v="16"/>
    <n v="4"/>
    <n v="3397.54"/>
    <n v="13590.16"/>
    <s v="P017"/>
  </r>
  <r>
    <n v="457"/>
    <s v="CUST1067"/>
    <d v="2024-05-01T00:00:00"/>
    <x v="2"/>
    <x v="3"/>
    <x v="14"/>
    <n v="2"/>
    <n v="1982.77"/>
    <n v="3965.54"/>
    <s v="P015"/>
  </r>
  <r>
    <n v="458"/>
    <s v="CUST1048"/>
    <d v="2024-06-04T00:00:00"/>
    <x v="0"/>
    <x v="4"/>
    <x v="15"/>
    <n v="7"/>
    <n v="1662.45"/>
    <n v="11637.15"/>
    <s v="P016"/>
  </r>
  <r>
    <n v="459"/>
    <s v="CUST1033"/>
    <d v="2024-06-08T00:00:00"/>
    <x v="2"/>
    <x v="1"/>
    <x v="11"/>
    <n v="6"/>
    <n v="3557.37"/>
    <n v="21344.22"/>
    <s v="P012"/>
  </r>
  <r>
    <n v="460"/>
    <s v="CUST1056"/>
    <d v="2024-06-15T00:00:00"/>
    <x v="2"/>
    <x v="3"/>
    <x v="9"/>
    <n v="7"/>
    <n v="798.71"/>
    <n v="5590.97"/>
    <s v="P010"/>
  </r>
  <r>
    <n v="461"/>
    <s v="CUST1043"/>
    <d v="2024-07-11T00:00:00"/>
    <x v="1"/>
    <x v="3"/>
    <x v="6"/>
    <n v="2"/>
    <n v="3220.82"/>
    <n v="6441.64"/>
    <s v="P007"/>
  </r>
  <r>
    <n v="462"/>
    <s v="CUST1008"/>
    <d v="2024-05-05T00:00:00"/>
    <x v="1"/>
    <x v="4"/>
    <x v="19"/>
    <n v="6"/>
    <n v="4250.9799999999996"/>
    <n v="25505.88"/>
    <s v="P020"/>
  </r>
  <r>
    <n v="463"/>
    <s v="CUST1050"/>
    <d v="2024-06-24T00:00:00"/>
    <x v="0"/>
    <x v="3"/>
    <x v="8"/>
    <n v="1"/>
    <n v="615.77"/>
    <n v="615.77"/>
    <s v="P009"/>
  </r>
  <r>
    <n v="464"/>
    <s v="CUST1091"/>
    <d v="2024-03-07T00:00:00"/>
    <x v="1"/>
    <x v="0"/>
    <x v="13"/>
    <n v="6"/>
    <n v="4635.62"/>
    <n v="27813.72"/>
    <s v="P014"/>
  </r>
  <r>
    <n v="465"/>
    <s v="CUST1037"/>
    <d v="2024-08-21T00:00:00"/>
    <x v="1"/>
    <x v="2"/>
    <x v="5"/>
    <n v="5"/>
    <n v="1517.3"/>
    <n v="7586.5"/>
    <s v="P006"/>
  </r>
  <r>
    <n v="466"/>
    <s v="CUST1018"/>
    <d v="2024-06-18T00:00:00"/>
    <x v="0"/>
    <x v="0"/>
    <x v="0"/>
    <n v="7"/>
    <n v="2276.23"/>
    <n v="15933.61"/>
    <s v="P001"/>
  </r>
  <r>
    <n v="467"/>
    <s v="CUST1096"/>
    <d v="2024-07-19T00:00:00"/>
    <x v="3"/>
    <x v="0"/>
    <x v="3"/>
    <n v="4"/>
    <n v="251.59"/>
    <n v="1006.36"/>
    <s v="P004"/>
  </r>
  <r>
    <n v="468"/>
    <s v="CUST1034"/>
    <d v="2024-10-04T00:00:00"/>
    <x v="0"/>
    <x v="0"/>
    <x v="3"/>
    <n v="9"/>
    <n v="2813.19"/>
    <n v="25318.71"/>
    <s v="P004"/>
  </r>
  <r>
    <n v="469"/>
    <s v="CUST1021"/>
    <d v="2024-02-11T00:00:00"/>
    <x v="2"/>
    <x v="0"/>
    <x v="0"/>
    <n v="1"/>
    <n v="2586.4899999999998"/>
    <n v="2586.4899999999998"/>
    <s v="P001"/>
  </r>
  <r>
    <n v="470"/>
    <s v="CUST1024"/>
    <d v="2024-10-26T00:00:00"/>
    <x v="1"/>
    <x v="3"/>
    <x v="6"/>
    <n v="1"/>
    <n v="2944.29"/>
    <n v="2944.29"/>
    <s v="P007"/>
  </r>
  <r>
    <n v="471"/>
    <s v="CUST1051"/>
    <d v="2024-05-04T00:00:00"/>
    <x v="1"/>
    <x v="0"/>
    <x v="0"/>
    <n v="2"/>
    <n v="2495.6"/>
    <n v="4991.2"/>
    <s v="P001"/>
  </r>
  <r>
    <n v="472"/>
    <s v="CUST1024"/>
    <d v="2024-09-29T00:00:00"/>
    <x v="1"/>
    <x v="3"/>
    <x v="8"/>
    <n v="8"/>
    <n v="1696.53"/>
    <n v="13572.24"/>
    <s v="P009"/>
  </r>
  <r>
    <n v="473"/>
    <s v="CUST1005"/>
    <d v="2024-09-06T00:00:00"/>
    <x v="1"/>
    <x v="0"/>
    <x v="0"/>
    <n v="5"/>
    <n v="825.12"/>
    <n v="4125.6000000000004"/>
    <s v="P001"/>
  </r>
  <r>
    <n v="474"/>
    <s v="CUST1091"/>
    <d v="2024-05-24T00:00:00"/>
    <x v="3"/>
    <x v="3"/>
    <x v="8"/>
    <n v="3"/>
    <n v="748.62"/>
    <n v="2245.86"/>
    <s v="P009"/>
  </r>
  <r>
    <n v="475"/>
    <s v="CUST1011"/>
    <d v="2024-04-26T00:00:00"/>
    <x v="2"/>
    <x v="1"/>
    <x v="16"/>
    <n v="6"/>
    <n v="740.2"/>
    <n v="4441.2"/>
    <s v="P017"/>
  </r>
  <r>
    <n v="476"/>
    <s v="CUST1019"/>
    <d v="2024-01-05T00:00:00"/>
    <x v="3"/>
    <x v="3"/>
    <x v="9"/>
    <n v="6"/>
    <n v="829.1"/>
    <n v="4974.6000000000004"/>
    <s v="P010"/>
  </r>
  <r>
    <n v="477"/>
    <s v="CUST1055"/>
    <d v="2024-06-02T00:00:00"/>
    <x v="0"/>
    <x v="3"/>
    <x v="14"/>
    <n v="4"/>
    <n v="4331.38"/>
    <n v="17325.52"/>
    <s v="P015"/>
  </r>
  <r>
    <n v="478"/>
    <s v="CUST1027"/>
    <d v="2024-09-06T00:00:00"/>
    <x v="0"/>
    <x v="1"/>
    <x v="11"/>
    <n v="8"/>
    <n v="2262"/>
    <n v="18096"/>
    <s v="P012"/>
  </r>
  <r>
    <n v="479"/>
    <s v="CUST1053"/>
    <d v="2024-07-21T00:00:00"/>
    <x v="0"/>
    <x v="4"/>
    <x v="15"/>
    <n v="2"/>
    <n v="3656.01"/>
    <n v="7312.02"/>
    <s v="P016"/>
  </r>
  <r>
    <n v="480"/>
    <s v="CUST1035"/>
    <d v="2024-08-06T00:00:00"/>
    <x v="2"/>
    <x v="3"/>
    <x v="6"/>
    <n v="4"/>
    <n v="4052.29"/>
    <n v="16209.16"/>
    <s v="P007"/>
  </r>
  <r>
    <n v="481"/>
    <s v="CUST1081"/>
    <d v="2024-02-17T00:00:00"/>
    <x v="1"/>
    <x v="4"/>
    <x v="10"/>
    <n v="4"/>
    <n v="115.52"/>
    <n v="462.08"/>
    <s v="P011"/>
  </r>
  <r>
    <n v="482"/>
    <s v="CUST1069"/>
    <d v="2024-08-12T00:00:00"/>
    <x v="0"/>
    <x v="1"/>
    <x v="4"/>
    <n v="6"/>
    <n v="1354.63"/>
    <n v="8127.78"/>
    <s v="P005"/>
  </r>
  <r>
    <n v="483"/>
    <s v="CUST1096"/>
    <d v="2024-01-13T00:00:00"/>
    <x v="1"/>
    <x v="0"/>
    <x v="0"/>
    <n v="7"/>
    <n v="193.67"/>
    <n v="1355.69"/>
    <s v="P001"/>
  </r>
  <r>
    <n v="484"/>
    <s v="CUST1064"/>
    <d v="2024-01-22T00:00:00"/>
    <x v="3"/>
    <x v="1"/>
    <x v="4"/>
    <n v="6"/>
    <n v="2683.41"/>
    <n v="16100.46"/>
    <s v="P005"/>
  </r>
  <r>
    <n v="485"/>
    <s v="CUST1056"/>
    <d v="2024-05-05T00:00:00"/>
    <x v="3"/>
    <x v="3"/>
    <x v="8"/>
    <n v="9"/>
    <n v="1465.92"/>
    <n v="13193.28"/>
    <s v="P009"/>
  </r>
  <r>
    <n v="486"/>
    <s v="CUST1071"/>
    <d v="2024-10-12T00:00:00"/>
    <x v="3"/>
    <x v="1"/>
    <x v="4"/>
    <n v="2"/>
    <n v="3416.42"/>
    <n v="6832.84"/>
    <s v="P005"/>
  </r>
  <r>
    <n v="487"/>
    <s v="CUST1001"/>
    <d v="2024-01-30T00:00:00"/>
    <x v="1"/>
    <x v="1"/>
    <x v="11"/>
    <n v="4"/>
    <n v="4187.3100000000004"/>
    <n v="16749.240000000002"/>
    <s v="P012"/>
  </r>
  <r>
    <n v="488"/>
    <s v="CUST1036"/>
    <d v="2024-02-06T00:00:00"/>
    <x v="3"/>
    <x v="0"/>
    <x v="13"/>
    <n v="9"/>
    <n v="3853.97"/>
    <n v="34685.730000000003"/>
    <s v="P014"/>
  </r>
  <r>
    <n v="489"/>
    <s v="CUST1075"/>
    <d v="2024-02-04T00:00:00"/>
    <x v="2"/>
    <x v="4"/>
    <x v="18"/>
    <n v="4"/>
    <n v="2094.8200000000002"/>
    <n v="8379.2800000000007"/>
    <s v="P019"/>
  </r>
  <r>
    <n v="490"/>
    <s v="CUST1083"/>
    <d v="2024-03-12T00:00:00"/>
    <x v="1"/>
    <x v="3"/>
    <x v="9"/>
    <n v="2"/>
    <n v="129.83000000000001"/>
    <n v="259.66000000000003"/>
    <s v="P010"/>
  </r>
  <r>
    <n v="491"/>
    <s v="CUST1016"/>
    <d v="2024-05-02T00:00:00"/>
    <x v="2"/>
    <x v="2"/>
    <x v="7"/>
    <n v="1"/>
    <n v="2553.06"/>
    <n v="2553.06"/>
    <s v="P008"/>
  </r>
  <r>
    <n v="492"/>
    <s v="CUST1034"/>
    <d v="2024-07-06T00:00:00"/>
    <x v="2"/>
    <x v="2"/>
    <x v="5"/>
    <n v="8"/>
    <n v="1546.92"/>
    <n v="12375.36"/>
    <s v="P006"/>
  </r>
  <r>
    <n v="493"/>
    <s v="CUST1065"/>
    <d v="2024-10-21T00:00:00"/>
    <x v="1"/>
    <x v="1"/>
    <x v="16"/>
    <n v="7"/>
    <n v="2434.54"/>
    <n v="17041.78"/>
    <s v="P017"/>
  </r>
  <r>
    <n v="494"/>
    <s v="CUST1019"/>
    <d v="2024-08-20T00:00:00"/>
    <x v="2"/>
    <x v="0"/>
    <x v="3"/>
    <n v="5"/>
    <n v="1151.68"/>
    <n v="5758.4"/>
    <s v="P004"/>
  </r>
  <r>
    <n v="495"/>
    <s v="CUST1074"/>
    <d v="2024-10-07T00:00:00"/>
    <x v="2"/>
    <x v="4"/>
    <x v="15"/>
    <n v="7"/>
    <n v="4347.97"/>
    <n v="30435.79"/>
    <s v="P016"/>
  </r>
  <r>
    <n v="496"/>
    <s v="CUST1028"/>
    <d v="2024-01-10T00:00:00"/>
    <x v="0"/>
    <x v="3"/>
    <x v="14"/>
    <n v="2"/>
    <n v="1285.47"/>
    <n v="2570.94"/>
    <s v="P015"/>
  </r>
  <r>
    <n v="497"/>
    <s v="CUST1012"/>
    <d v="2024-02-22T00:00:00"/>
    <x v="0"/>
    <x v="3"/>
    <x v="9"/>
    <n v="7"/>
    <n v="3631.21"/>
    <n v="25418.47"/>
    <s v="P010"/>
  </r>
  <r>
    <n v="498"/>
    <s v="CUST1075"/>
    <d v="2024-04-28T00:00:00"/>
    <x v="1"/>
    <x v="2"/>
    <x v="5"/>
    <n v="8"/>
    <n v="3184.83"/>
    <n v="25478.639999999999"/>
    <s v="P006"/>
  </r>
  <r>
    <n v="499"/>
    <s v="CUST1026"/>
    <d v="2024-07-22T00:00:00"/>
    <x v="3"/>
    <x v="4"/>
    <x v="15"/>
    <n v="1"/>
    <n v="2604.5300000000002"/>
    <n v="2604.5300000000002"/>
    <s v="P016"/>
  </r>
  <r>
    <n v="500"/>
    <s v="CUST1041"/>
    <d v="2024-09-30T00:00:00"/>
    <x v="0"/>
    <x v="4"/>
    <x v="15"/>
    <n v="8"/>
    <n v="4212.76"/>
    <n v="33702.080000000002"/>
    <s v="P016"/>
  </r>
  <r>
    <m/>
    <m/>
    <m/>
    <x v="4"/>
    <x v="5"/>
    <x v="20"/>
    <m/>
    <m/>
    <m/>
    <m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">
  <r>
    <x v="0"/>
    <x v="0"/>
    <m/>
  </r>
  <r>
    <x v="1"/>
    <x v="1"/>
    <n v="0"/>
  </r>
  <r>
    <x v="2"/>
    <x v="2"/>
    <n v="-37.433352357010023"/>
  </r>
  <r>
    <x v="3"/>
    <x v="3"/>
    <n v="-9.9449577128802176"/>
  </r>
  <r>
    <x v="4"/>
    <x v="4"/>
    <n v="12.666815118148186"/>
  </r>
  <r>
    <x v="5"/>
    <x v="5"/>
    <n v="0.38038242727230215"/>
  </r>
  <r>
    <x v="6"/>
    <x v="6"/>
    <n v="13.507448452321317"/>
  </r>
  <r>
    <x v="7"/>
    <x v="7"/>
    <n v="-43.695908308834916"/>
  </r>
  <r>
    <x v="8"/>
    <x v="8"/>
    <n v="16.615732541219931"/>
  </r>
  <r>
    <x v="9"/>
    <x v="9"/>
    <n v="19.992175479454083"/>
  </r>
  <r>
    <x v="10"/>
    <x v="10"/>
    <n v="-12.817123011143172"/>
  </r>
  <r>
    <x v="11"/>
    <x v="11"/>
    <e v="#DIV/0!"/>
  </r>
  <r>
    <x v="12"/>
    <x v="11"/>
    <e v="#DIV/0!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B394FFA-E876-4955-8435-B50807449A68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24" firstHeaderRow="1" firstDataRow="1" firstDataCol="1"/>
  <pivotFields count="10">
    <pivotField showAll="0"/>
    <pivotField showAll="0"/>
    <pivotField numFmtId="164" showAll="0"/>
    <pivotField showAll="0"/>
    <pivotField showAll="0">
      <items count="6">
        <item x="0"/>
        <item x="4"/>
        <item x="1"/>
        <item x="3"/>
        <item x="2"/>
        <item t="default"/>
      </items>
    </pivotField>
    <pivotField axis="axisRow" showAll="0" sortType="descending" minSubtotal="1">
      <items count="21">
        <item x="17"/>
        <item x="11"/>
        <item x="4"/>
        <item x="10"/>
        <item x="19"/>
        <item x="9"/>
        <item x="5"/>
        <item x="3"/>
        <item x="0"/>
        <item x="8"/>
        <item x="12"/>
        <item x="13"/>
        <item x="18"/>
        <item x="16"/>
        <item x="1"/>
        <item x="15"/>
        <item x="14"/>
        <item x="2"/>
        <item x="6"/>
        <item x="7"/>
        <item t="min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dataField="1" numFmtId="2" showAll="0"/>
    <pivotField showAll="0"/>
  </pivotFields>
  <rowFields count="1">
    <field x="5"/>
  </rowFields>
  <rowItems count="21">
    <i>
      <x v="17"/>
    </i>
    <i>
      <x v="5"/>
    </i>
    <i>
      <x v="15"/>
    </i>
    <i>
      <x v="11"/>
    </i>
    <i>
      <x v="1"/>
    </i>
    <i>
      <x v="18"/>
    </i>
    <i>
      <x v="6"/>
    </i>
    <i>
      <x v="4"/>
    </i>
    <i>
      <x v="9"/>
    </i>
    <i>
      <x v="16"/>
    </i>
    <i>
      <x v="7"/>
    </i>
    <i>
      <x v="8"/>
    </i>
    <i>
      <x v="13"/>
    </i>
    <i>
      <x/>
    </i>
    <i>
      <x v="2"/>
    </i>
    <i>
      <x v="3"/>
    </i>
    <i>
      <x v="10"/>
    </i>
    <i>
      <x v="14"/>
    </i>
    <i>
      <x v="19"/>
    </i>
    <i>
      <x v="12"/>
    </i>
    <i t="grand">
      <x/>
    </i>
  </rowItems>
  <colItems count="1">
    <i/>
  </colItems>
  <dataFields count="1">
    <dataField name="Total_Amount_by_product" fld="8" baseField="5" baseItem="0" numFmtId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F406580-8DD0-44F8-BE85-49873AE237B2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F3:G104" firstHeaderRow="1" firstDataRow="1" firstDataCol="1"/>
  <pivotFields count="10">
    <pivotField showAll="0"/>
    <pivotField axis="axisRow" showAll="0" sortType="descending">
      <items count="101">
        <item x="71"/>
        <item x="30"/>
        <item x="44"/>
        <item x="74"/>
        <item x="46"/>
        <item x="56"/>
        <item x="51"/>
        <item x="87"/>
        <item x="50"/>
        <item x="97"/>
        <item x="25"/>
        <item x="3"/>
        <item x="12"/>
        <item x="24"/>
        <item x="19"/>
        <item x="62"/>
        <item x="31"/>
        <item x="0"/>
        <item x="32"/>
        <item x="69"/>
        <item x="86"/>
        <item x="88"/>
        <item x="7"/>
        <item x="92"/>
        <item x="89"/>
        <item x="76"/>
        <item x="79"/>
        <item x="75"/>
        <item x="77"/>
        <item x="60"/>
        <item x="72"/>
        <item x="66"/>
        <item x="33"/>
        <item x="40"/>
        <item x="73"/>
        <item x="82"/>
        <item x="4"/>
        <item x="78"/>
        <item x="10"/>
        <item x="37"/>
        <item x="39"/>
        <item x="35"/>
        <item x="64"/>
        <item x="63"/>
        <item x="23"/>
        <item x="95"/>
        <item x="93"/>
        <item x="45"/>
        <item x="17"/>
        <item x="99"/>
        <item x="42"/>
        <item x="85"/>
        <item x="98"/>
        <item x="68"/>
        <item x="41"/>
        <item x="11"/>
        <item x="22"/>
        <item x="18"/>
        <item x="84"/>
        <item x="91"/>
        <item x="81"/>
        <item x="28"/>
        <item x="2"/>
        <item x="38"/>
        <item x="80"/>
        <item x="15"/>
        <item x="9"/>
        <item x="13"/>
        <item x="67"/>
        <item x="29"/>
        <item x="47"/>
        <item x="65"/>
        <item x="20"/>
        <item x="36"/>
        <item x="49"/>
        <item x="61"/>
        <item x="1"/>
        <item x="55"/>
        <item x="94"/>
        <item x="54"/>
        <item x="43"/>
        <item x="27"/>
        <item x="5"/>
        <item x="70"/>
        <item x="26"/>
        <item x="90"/>
        <item x="16"/>
        <item x="59"/>
        <item x="14"/>
        <item x="83"/>
        <item x="96"/>
        <item x="58"/>
        <item x="34"/>
        <item x="53"/>
        <item x="8"/>
        <item x="57"/>
        <item x="52"/>
        <item x="21"/>
        <item x="6"/>
        <item x="4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164" showAll="0"/>
    <pivotField showAll="0"/>
    <pivotField showAll="0"/>
    <pivotField showAll="0"/>
    <pivotField showAll="0"/>
    <pivotField showAll="0"/>
    <pivotField dataField="1" numFmtId="2" showAll="0"/>
    <pivotField showAll="0"/>
  </pivotFields>
  <rowFields count="1">
    <field x="1"/>
  </rowFields>
  <rowItems count="101">
    <i>
      <x v="38"/>
    </i>
    <i>
      <x v="97"/>
    </i>
    <i>
      <x v="25"/>
    </i>
    <i>
      <x v="81"/>
    </i>
    <i>
      <x v="67"/>
    </i>
    <i>
      <x v="62"/>
    </i>
    <i>
      <x v="88"/>
    </i>
    <i>
      <x v="57"/>
    </i>
    <i>
      <x v="53"/>
    </i>
    <i>
      <x v="32"/>
    </i>
    <i>
      <x v="76"/>
    </i>
    <i>
      <x v="14"/>
    </i>
    <i>
      <x v="98"/>
    </i>
    <i>
      <x v="11"/>
    </i>
    <i>
      <x v="26"/>
    </i>
    <i>
      <x v="59"/>
    </i>
    <i>
      <x v="54"/>
    </i>
    <i>
      <x v="16"/>
    </i>
    <i>
      <x v="47"/>
    </i>
    <i>
      <x v="55"/>
    </i>
    <i>
      <x v="1"/>
    </i>
    <i>
      <x v="73"/>
    </i>
    <i>
      <x v="45"/>
    </i>
    <i>
      <x v="75"/>
    </i>
    <i>
      <x v="37"/>
    </i>
    <i>
      <x v="8"/>
    </i>
    <i>
      <x v="92"/>
    </i>
    <i>
      <x v="65"/>
    </i>
    <i>
      <x v="6"/>
    </i>
    <i>
      <x v="96"/>
    </i>
    <i>
      <x v="10"/>
    </i>
    <i>
      <x/>
    </i>
    <i>
      <x v="79"/>
    </i>
    <i>
      <x v="83"/>
    </i>
    <i>
      <x v="66"/>
    </i>
    <i>
      <x v="93"/>
    </i>
    <i>
      <x v="43"/>
    </i>
    <i>
      <x v="84"/>
    </i>
    <i>
      <x v="40"/>
    </i>
    <i>
      <x v="95"/>
    </i>
    <i>
      <x v="19"/>
    </i>
    <i>
      <x v="91"/>
    </i>
    <i>
      <x v="17"/>
    </i>
    <i>
      <x v="29"/>
    </i>
    <i>
      <x v="13"/>
    </i>
    <i>
      <x v="41"/>
    </i>
    <i>
      <x v="71"/>
    </i>
    <i>
      <x v="48"/>
    </i>
    <i>
      <x v="64"/>
    </i>
    <i>
      <x v="74"/>
    </i>
    <i>
      <x v="24"/>
    </i>
    <i>
      <x v="86"/>
    </i>
    <i>
      <x v="80"/>
    </i>
    <i>
      <x v="85"/>
    </i>
    <i>
      <x v="94"/>
    </i>
    <i>
      <x v="58"/>
    </i>
    <i>
      <x v="7"/>
    </i>
    <i>
      <x v="31"/>
    </i>
    <i>
      <x v="51"/>
    </i>
    <i>
      <x v="60"/>
    </i>
    <i>
      <x v="70"/>
    </i>
    <i>
      <x v="20"/>
    </i>
    <i>
      <x v="36"/>
    </i>
    <i>
      <x v="50"/>
    </i>
    <i>
      <x v="89"/>
    </i>
    <i>
      <x v="99"/>
    </i>
    <i>
      <x v="12"/>
    </i>
    <i>
      <x v="82"/>
    </i>
    <i>
      <x v="22"/>
    </i>
    <i>
      <x v="2"/>
    </i>
    <i>
      <x v="27"/>
    </i>
    <i>
      <x v="33"/>
    </i>
    <i>
      <x v="3"/>
    </i>
    <i>
      <x v="63"/>
    </i>
    <i>
      <x v="28"/>
    </i>
    <i>
      <x v="56"/>
    </i>
    <i>
      <x v="68"/>
    </i>
    <i>
      <x v="15"/>
    </i>
    <i>
      <x v="44"/>
    </i>
    <i>
      <x v="9"/>
    </i>
    <i>
      <x v="5"/>
    </i>
    <i>
      <x v="42"/>
    </i>
    <i>
      <x v="52"/>
    </i>
    <i>
      <x v="77"/>
    </i>
    <i>
      <x v="39"/>
    </i>
    <i>
      <x v="34"/>
    </i>
    <i>
      <x v="61"/>
    </i>
    <i>
      <x v="18"/>
    </i>
    <i>
      <x v="30"/>
    </i>
    <i>
      <x v="69"/>
    </i>
    <i>
      <x v="35"/>
    </i>
    <i>
      <x v="46"/>
    </i>
    <i>
      <x v="78"/>
    </i>
    <i>
      <x v="72"/>
    </i>
    <i>
      <x v="87"/>
    </i>
    <i>
      <x v="23"/>
    </i>
    <i>
      <x v="21"/>
    </i>
    <i>
      <x v="90"/>
    </i>
    <i>
      <x v="4"/>
    </i>
    <i>
      <x v="49"/>
    </i>
    <i t="grand">
      <x/>
    </i>
  </rowItems>
  <colItems count="1">
    <i/>
  </colItems>
  <dataFields count="1">
    <dataField name="Sum of Total_Amount" fld="8" baseField="0" baseItem="0" numFmtId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7E79BEC-648C-42BD-8C6A-EA4AC05E2C43}" name="PivotTable1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G11" firstHeaderRow="1" firstDataRow="2" firstDataCol="1"/>
  <pivotFields count="10">
    <pivotField showAll="0"/>
    <pivotField showAll="0"/>
    <pivotField showAll="0"/>
    <pivotField axis="axisCol" showAll="0">
      <items count="6">
        <item x="1"/>
        <item x="3"/>
        <item x="2"/>
        <item x="0"/>
        <item x="4"/>
        <item t="default"/>
      </items>
    </pivotField>
    <pivotField axis="axisRow" showAll="0" sortType="descending">
      <items count="7">
        <item x="0"/>
        <item x="4"/>
        <item x="1"/>
        <item x="3"/>
        <item x="2"/>
        <item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dataField="1" showAll="0"/>
    <pivotField showAll="0"/>
  </pivotFields>
  <rowFields count="1">
    <field x="4"/>
  </rowFields>
  <rowItems count="7">
    <i>
      <x/>
    </i>
    <i>
      <x v="3"/>
    </i>
    <i>
      <x v="1"/>
    </i>
    <i>
      <x v="2"/>
    </i>
    <i>
      <x v="4"/>
    </i>
    <i>
      <x v="5"/>
    </i>
    <i t="grand">
      <x/>
    </i>
  </rowItems>
  <colFields count="1">
    <field x="3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 of Total_Amount" fld="8" baseField="0" baseItem="0"/>
  </dataFields>
  <chartFormats count="5"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1" format="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0FE40FE-D844-47FC-B218-D8FB8418DD5C}" name="PivotTable6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3:B9" firstHeaderRow="1" firstDataRow="1" firstDataCol="1"/>
  <pivotFields count="10">
    <pivotField showAll="0"/>
    <pivotField showAll="0"/>
    <pivotField showAll="0"/>
    <pivotField axis="axisRow" showAll="0">
      <items count="6">
        <item x="1"/>
        <item x="3"/>
        <item x="2"/>
        <item x="0"/>
        <item x="4"/>
        <item t="default"/>
      </items>
    </pivotField>
    <pivotField showAll="0"/>
    <pivotField showAll="0"/>
    <pivotField showAll="0"/>
    <pivotField showAll="0"/>
    <pivotField dataField="1"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Total_Amount" fld="8" baseField="0" baseItem="0"/>
  </dataFields>
  <chartFormats count="12"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8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6" format="9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6" format="10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6" format="1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6" format="12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4" format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4" format="2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4" format="3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4" format="4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4" format="5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576959F-3222-48CB-8DC6-4728A5A61D07}" name="PivotTable1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56:B62" firstHeaderRow="1" firstDataRow="1" firstDataCol="1"/>
  <pivotFields count="10">
    <pivotField showAll="0"/>
    <pivotField showAll="0"/>
    <pivotField showAll="0"/>
    <pivotField showAll="0"/>
    <pivotField showAll="0"/>
    <pivotField axis="axisRow" showAll="0" measureFilter="1" sortType="descending">
      <items count="22">
        <item x="7"/>
        <item x="6"/>
        <item x="2"/>
        <item x="14"/>
        <item x="15"/>
        <item x="1"/>
        <item x="16"/>
        <item x="18"/>
        <item x="13"/>
        <item x="12"/>
        <item x="8"/>
        <item x="0"/>
        <item x="3"/>
        <item x="5"/>
        <item x="9"/>
        <item x="19"/>
        <item x="10"/>
        <item x="4"/>
        <item x="11"/>
        <item x="17"/>
        <item x="2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dataField="1" showAll="0"/>
    <pivotField showAll="0"/>
  </pivotFields>
  <rowFields count="1">
    <field x="5"/>
  </rowFields>
  <rowItems count="6">
    <i>
      <x v="2"/>
    </i>
    <i>
      <x v="14"/>
    </i>
    <i>
      <x v="4"/>
    </i>
    <i>
      <x v="8"/>
    </i>
    <i>
      <x v="18"/>
    </i>
    <i t="grand">
      <x/>
    </i>
  </rowItems>
  <colItems count="1">
    <i/>
  </colItems>
  <dataFields count="1">
    <dataField name="Sum of Total_Amount" fld="8" baseField="0" baseItem="0"/>
  </dataField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5" type="valueGreaterThan" evalOrder="-1" id="1" iMeasureFld="0">
      <autoFilter ref="A1">
        <filterColumn colId="0">
          <customFilters>
            <customFilter operator="greaterThan" val="348000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949302B-D4B8-4377-9230-0DD9B0FE9145}" name="PivotTable8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>
  <location ref="A40:B47" firstHeaderRow="1" firstDataRow="1" firstDataCol="1"/>
  <pivotFields count="10">
    <pivotField showAll="0"/>
    <pivotField showAll="0"/>
    <pivotField showAll="0"/>
    <pivotField showAll="0"/>
    <pivotField axis="axisRow" showAll="0" sortType="descending">
      <items count="7">
        <item x="0"/>
        <item x="4"/>
        <item x="1"/>
        <item x="3"/>
        <item x="2"/>
        <item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dataField="1" showAll="0"/>
    <pivotField showAll="0"/>
  </pivotFields>
  <rowFields count="1">
    <field x="4"/>
  </rowFields>
  <rowItems count="7">
    <i>
      <x/>
    </i>
    <i>
      <x v="3"/>
    </i>
    <i>
      <x v="1"/>
    </i>
    <i>
      <x v="2"/>
    </i>
    <i>
      <x v="4"/>
    </i>
    <i>
      <x v="5"/>
    </i>
    <i t="grand">
      <x/>
    </i>
  </rowItems>
  <colItems count="1">
    <i/>
  </colItems>
  <dataFields count="1">
    <dataField name="Sum of Total_Amount" fld="8" baseField="0" baseItem="0"/>
  </dataFields>
  <chartFormats count="2">
    <chartFormat chart="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373945D-8E9F-4087-A310-5A2DBC3BAFB6}" name="PivotTable7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3">
  <location ref="A20:C34" firstHeaderRow="0" firstDataRow="1" firstDataCol="1"/>
  <pivotFields count="3">
    <pivotField axis="axisRow" showAll="0">
      <items count="14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0"/>
        <item t="default"/>
      </items>
    </pivotField>
    <pivotField dataField="1" showAll="0">
      <items count="13">
        <item x="11"/>
        <item x="7"/>
        <item x="3"/>
        <item x="2"/>
        <item x="8"/>
        <item x="4"/>
        <item x="5"/>
        <item x="10"/>
        <item x="6"/>
        <item x="9"/>
        <item x="1"/>
        <item x="0"/>
        <item t="default"/>
      </items>
    </pivotField>
    <pivotField dataField="1" showAll="0"/>
  </pivotFields>
  <rowFields count="1">
    <field x="0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Total_Sales" fld="1" baseField="0" baseItem="0"/>
    <dataField name="Sum of MoM_Growth(%)" fld="2" baseField="0" baseItem="0"/>
  </dataFields>
  <chartFormats count="4">
    <chartFormat chart="1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D551E53-8641-4752-9A3B-D11730C97187}" name="Table1" displayName="Table1" ref="A1:J501" totalsRowShown="0" headerRowDxfId="4" headerRowBorderDxfId="3" tableBorderDxfId="2">
  <autoFilter ref="A1:J501" xr:uid="{8D551E53-8641-4752-9A3B-D11730C97187}"/>
  <tableColumns count="10">
    <tableColumn id="1" xr3:uid="{1B507142-16FE-4696-AEE5-011844C1044A}" name="Order_ID"/>
    <tableColumn id="2" xr3:uid="{62B3206D-4AFE-4E1F-B0E8-04F5CCF53A0B}" name="Customer_ID"/>
    <tableColumn id="3" xr3:uid="{FDA955E2-E40F-4392-AF5D-996EAE544EF8}" name="Order_Date" dataDxfId="1"/>
    <tableColumn id="4" xr3:uid="{334AC4FF-82B7-4D71-8D4F-A8D96E82561D}" name="Region"/>
    <tableColumn id="5" xr3:uid="{E42E2FB7-A655-48B9-9EF6-84F1AECECC23}" name="Category"/>
    <tableColumn id="6" xr3:uid="{F563D6E7-1AA8-46EC-8C72-93A664AAE937}" name="Product"/>
    <tableColumn id="7" xr3:uid="{802F6361-CD2E-496E-ABD4-1D7FC887B063}" name="Quantity"/>
    <tableColumn id="8" xr3:uid="{CA0604DA-19BE-46FA-BE89-FADF42A0F8B7}" name="Unit_Price"/>
    <tableColumn id="9" xr3:uid="{DA215305-F2DF-410F-86EE-11AB5D14CA71}" name="Total_Amount" dataDxfId="0"/>
    <tableColumn id="10" xr3:uid="{B09B9180-B9B0-4751-A032-B24B7A99FCB5}" name="Product_ID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3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6.xml"/><Relationship Id="rId2" Type="http://schemas.openxmlformats.org/officeDocument/2006/relationships/pivotTable" Target="../pivotTables/pivotTable5.xml"/><Relationship Id="rId1" Type="http://schemas.openxmlformats.org/officeDocument/2006/relationships/pivotTable" Target="../pivotTables/pivotTable4.xml"/><Relationship Id="rId5" Type="http://schemas.openxmlformats.org/officeDocument/2006/relationships/drawing" Target="../drawings/drawing2.xml"/><Relationship Id="rId4" Type="http://schemas.openxmlformats.org/officeDocument/2006/relationships/pivotTable" Target="../pivotTables/pivot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01"/>
  <sheetViews>
    <sheetView tabSelected="1" workbookViewId="0">
      <selection activeCell="L20" sqref="L20"/>
    </sheetView>
  </sheetViews>
  <sheetFormatPr defaultRowHeight="14.4" x14ac:dyDescent="0.3"/>
  <cols>
    <col min="1" max="1" width="13" bestFit="1" customWidth="1"/>
    <col min="2" max="2" width="16.33203125" bestFit="1" customWidth="1"/>
    <col min="3" max="3" width="18.109375" bestFit="1" customWidth="1"/>
    <col min="4" max="4" width="11.21875" bestFit="1" customWidth="1"/>
    <col min="5" max="5" width="15.109375" bestFit="1" customWidth="1"/>
    <col min="6" max="6" width="15.44140625" bestFit="1" customWidth="1"/>
    <col min="7" max="7" width="12.77734375" bestFit="1" customWidth="1"/>
    <col min="8" max="8" width="14.109375" bestFit="1" customWidth="1"/>
    <col min="9" max="9" width="17.6640625" style="2" bestFit="1" customWidth="1"/>
    <col min="10" max="10" width="14.88671875" bestFit="1" customWidth="1"/>
  </cols>
  <sheetData>
    <row r="1" spans="1:10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7" t="s">
        <v>8</v>
      </c>
      <c r="J1" s="6" t="s">
        <v>9</v>
      </c>
    </row>
    <row r="2" spans="1:10" x14ac:dyDescent="0.3">
      <c r="A2">
        <v>1</v>
      </c>
      <c r="B2" t="s">
        <v>10</v>
      </c>
      <c r="C2" s="1">
        <v>45394</v>
      </c>
      <c r="D2" t="s">
        <v>110</v>
      </c>
      <c r="E2" t="s">
        <v>114</v>
      </c>
      <c r="F2" t="s">
        <v>119</v>
      </c>
      <c r="G2">
        <v>8</v>
      </c>
      <c r="H2">
        <v>3033.43</v>
      </c>
      <c r="I2" s="2">
        <v>24267.439999999999</v>
      </c>
      <c r="J2" t="s">
        <v>139</v>
      </c>
    </row>
    <row r="3" spans="1:10" x14ac:dyDescent="0.3">
      <c r="A3">
        <v>2</v>
      </c>
      <c r="B3" t="s">
        <v>11</v>
      </c>
      <c r="C3" s="1">
        <v>45506</v>
      </c>
      <c r="D3" t="s">
        <v>111</v>
      </c>
      <c r="E3" t="s">
        <v>115</v>
      </c>
      <c r="F3" t="s">
        <v>120</v>
      </c>
      <c r="G3">
        <v>5</v>
      </c>
      <c r="H3">
        <v>3045.46</v>
      </c>
      <c r="I3" s="2">
        <v>15227.3</v>
      </c>
      <c r="J3" t="s">
        <v>140</v>
      </c>
    </row>
    <row r="4" spans="1:10" x14ac:dyDescent="0.3">
      <c r="A4">
        <v>3</v>
      </c>
      <c r="B4" t="s">
        <v>12</v>
      </c>
      <c r="C4" s="1">
        <v>45422</v>
      </c>
      <c r="D4" t="s">
        <v>112</v>
      </c>
      <c r="E4" t="s">
        <v>114</v>
      </c>
      <c r="F4" t="s">
        <v>121</v>
      </c>
      <c r="G4">
        <v>8</v>
      </c>
      <c r="H4">
        <v>4178.97</v>
      </c>
      <c r="I4" s="2">
        <v>33431.760000000002</v>
      </c>
      <c r="J4" t="s">
        <v>141</v>
      </c>
    </row>
    <row r="5" spans="1:10" x14ac:dyDescent="0.3">
      <c r="A5">
        <v>4</v>
      </c>
      <c r="B5" t="s">
        <v>13</v>
      </c>
      <c r="C5" s="1">
        <v>45483</v>
      </c>
      <c r="D5" t="s">
        <v>110</v>
      </c>
      <c r="E5" t="s">
        <v>114</v>
      </c>
      <c r="F5" t="s">
        <v>122</v>
      </c>
      <c r="G5">
        <v>6</v>
      </c>
      <c r="H5">
        <v>134.62</v>
      </c>
      <c r="I5" s="2">
        <v>807.72</v>
      </c>
      <c r="J5" t="s">
        <v>142</v>
      </c>
    </row>
    <row r="6" spans="1:10" x14ac:dyDescent="0.3">
      <c r="A6">
        <v>5</v>
      </c>
      <c r="B6" t="s">
        <v>14</v>
      </c>
      <c r="C6" s="1">
        <v>45340</v>
      </c>
      <c r="D6" t="s">
        <v>111</v>
      </c>
      <c r="E6" t="s">
        <v>115</v>
      </c>
      <c r="F6" t="s">
        <v>123</v>
      </c>
      <c r="G6">
        <v>3</v>
      </c>
      <c r="H6">
        <v>1974.06</v>
      </c>
      <c r="I6" s="2">
        <v>5922.18</v>
      </c>
      <c r="J6" t="s">
        <v>143</v>
      </c>
    </row>
    <row r="7" spans="1:10" x14ac:dyDescent="0.3">
      <c r="A7">
        <v>6</v>
      </c>
      <c r="B7" t="s">
        <v>15</v>
      </c>
      <c r="C7" s="1">
        <v>45422</v>
      </c>
      <c r="D7" t="s">
        <v>113</v>
      </c>
      <c r="E7" t="s">
        <v>115</v>
      </c>
      <c r="F7" t="s">
        <v>123</v>
      </c>
      <c r="G7">
        <v>5</v>
      </c>
      <c r="H7">
        <v>2307.4499999999998</v>
      </c>
      <c r="I7" s="2">
        <v>11537.25</v>
      </c>
      <c r="J7" t="s">
        <v>143</v>
      </c>
    </row>
    <row r="8" spans="1:10" x14ac:dyDescent="0.3">
      <c r="A8">
        <v>7</v>
      </c>
      <c r="B8" t="s">
        <v>16</v>
      </c>
      <c r="C8" s="1">
        <v>45380</v>
      </c>
      <c r="D8" t="s">
        <v>110</v>
      </c>
      <c r="E8" t="s">
        <v>116</v>
      </c>
      <c r="F8" t="s">
        <v>124</v>
      </c>
      <c r="G8">
        <v>9</v>
      </c>
      <c r="H8">
        <v>178.23</v>
      </c>
      <c r="I8" s="2">
        <v>1604.07</v>
      </c>
      <c r="J8" t="s">
        <v>144</v>
      </c>
    </row>
    <row r="9" spans="1:10" x14ac:dyDescent="0.3">
      <c r="A9">
        <v>8</v>
      </c>
      <c r="B9" t="s">
        <v>17</v>
      </c>
      <c r="C9" s="1">
        <v>45383</v>
      </c>
      <c r="D9" t="s">
        <v>111</v>
      </c>
      <c r="E9" t="s">
        <v>117</v>
      </c>
      <c r="F9" t="s">
        <v>125</v>
      </c>
      <c r="G9">
        <v>8</v>
      </c>
      <c r="H9">
        <v>268.5</v>
      </c>
      <c r="I9" s="2">
        <v>2148</v>
      </c>
      <c r="J9" t="s">
        <v>145</v>
      </c>
    </row>
    <row r="10" spans="1:10" x14ac:dyDescent="0.3">
      <c r="A10">
        <v>9</v>
      </c>
      <c r="B10" t="s">
        <v>18</v>
      </c>
      <c r="C10" s="1">
        <v>45372</v>
      </c>
      <c r="D10" t="s">
        <v>110</v>
      </c>
      <c r="E10" t="s">
        <v>116</v>
      </c>
      <c r="F10" t="s">
        <v>126</v>
      </c>
      <c r="G10">
        <v>4</v>
      </c>
      <c r="H10">
        <v>1627.38</v>
      </c>
      <c r="I10" s="2">
        <v>6509.52</v>
      </c>
      <c r="J10" t="s">
        <v>146</v>
      </c>
    </row>
    <row r="11" spans="1:10" x14ac:dyDescent="0.3">
      <c r="A11">
        <v>10</v>
      </c>
      <c r="B11" t="s">
        <v>19</v>
      </c>
      <c r="C11" s="1">
        <v>45345</v>
      </c>
      <c r="D11" t="s">
        <v>112</v>
      </c>
      <c r="E11" t="s">
        <v>117</v>
      </c>
      <c r="F11" t="s">
        <v>127</v>
      </c>
      <c r="G11">
        <v>2</v>
      </c>
      <c r="H11">
        <v>3898.15</v>
      </c>
      <c r="I11" s="2">
        <v>7796.3</v>
      </c>
      <c r="J11" t="s">
        <v>147</v>
      </c>
    </row>
    <row r="12" spans="1:10" x14ac:dyDescent="0.3">
      <c r="A12">
        <v>11</v>
      </c>
      <c r="B12" t="s">
        <v>20</v>
      </c>
      <c r="C12" s="1">
        <v>45493</v>
      </c>
      <c r="D12" t="s">
        <v>112</v>
      </c>
      <c r="E12" t="s">
        <v>117</v>
      </c>
      <c r="F12" t="s">
        <v>127</v>
      </c>
      <c r="G12">
        <v>8</v>
      </c>
      <c r="H12">
        <v>2895.18</v>
      </c>
      <c r="I12" s="2">
        <v>23161.439999999999</v>
      </c>
      <c r="J12" t="s">
        <v>147</v>
      </c>
    </row>
    <row r="13" spans="1:10" x14ac:dyDescent="0.3">
      <c r="A13">
        <v>12</v>
      </c>
      <c r="B13" t="s">
        <v>13</v>
      </c>
      <c r="C13" s="1">
        <v>45587</v>
      </c>
      <c r="D13" t="s">
        <v>113</v>
      </c>
      <c r="E13" t="s">
        <v>114</v>
      </c>
      <c r="F13" t="s">
        <v>121</v>
      </c>
      <c r="G13">
        <v>5</v>
      </c>
      <c r="H13">
        <v>2975.08</v>
      </c>
      <c r="I13" s="2">
        <v>14875.4</v>
      </c>
      <c r="J13" t="s">
        <v>141</v>
      </c>
    </row>
    <row r="14" spans="1:10" x14ac:dyDescent="0.3">
      <c r="A14">
        <v>13</v>
      </c>
      <c r="B14" t="s">
        <v>21</v>
      </c>
      <c r="C14" s="1">
        <v>45543</v>
      </c>
      <c r="D14" t="s">
        <v>110</v>
      </c>
      <c r="E14" t="s">
        <v>117</v>
      </c>
      <c r="F14" t="s">
        <v>128</v>
      </c>
      <c r="G14">
        <v>9</v>
      </c>
      <c r="H14">
        <v>1551.74</v>
      </c>
      <c r="I14" s="2">
        <v>13965.66</v>
      </c>
      <c r="J14" t="s">
        <v>148</v>
      </c>
    </row>
    <row r="15" spans="1:10" x14ac:dyDescent="0.3">
      <c r="A15">
        <v>14</v>
      </c>
      <c r="B15" t="s">
        <v>22</v>
      </c>
      <c r="C15" s="1">
        <v>45356</v>
      </c>
      <c r="D15" t="s">
        <v>113</v>
      </c>
      <c r="E15" t="s">
        <v>118</v>
      </c>
      <c r="F15" t="s">
        <v>129</v>
      </c>
      <c r="G15">
        <v>1</v>
      </c>
      <c r="H15">
        <v>1073.71</v>
      </c>
      <c r="I15" s="2">
        <v>1073.71</v>
      </c>
      <c r="J15" t="s">
        <v>149</v>
      </c>
    </row>
    <row r="16" spans="1:10" x14ac:dyDescent="0.3">
      <c r="A16">
        <v>15</v>
      </c>
      <c r="B16" t="s">
        <v>23</v>
      </c>
      <c r="C16" s="1">
        <v>45354</v>
      </c>
      <c r="D16" t="s">
        <v>111</v>
      </c>
      <c r="E16" t="s">
        <v>115</v>
      </c>
      <c r="F16" t="s">
        <v>130</v>
      </c>
      <c r="G16">
        <v>8</v>
      </c>
      <c r="H16">
        <v>3672.14</v>
      </c>
      <c r="I16" s="2">
        <v>29377.119999999999</v>
      </c>
      <c r="J16" t="s">
        <v>150</v>
      </c>
    </row>
    <row r="17" spans="1:10" x14ac:dyDescent="0.3">
      <c r="A17">
        <v>16</v>
      </c>
      <c r="B17" t="s">
        <v>24</v>
      </c>
      <c r="C17" s="1">
        <v>45552</v>
      </c>
      <c r="D17" t="s">
        <v>112</v>
      </c>
      <c r="E17" t="s">
        <v>116</v>
      </c>
      <c r="F17" t="s">
        <v>131</v>
      </c>
      <c r="G17">
        <v>7</v>
      </c>
      <c r="H17">
        <v>4265.1899999999996</v>
      </c>
      <c r="I17" s="2">
        <v>29856.33</v>
      </c>
      <c r="J17" t="s">
        <v>151</v>
      </c>
    </row>
    <row r="18" spans="1:10" x14ac:dyDescent="0.3">
      <c r="A18">
        <v>17</v>
      </c>
      <c r="B18" t="s">
        <v>25</v>
      </c>
      <c r="C18" s="1">
        <v>45324</v>
      </c>
      <c r="D18" t="s">
        <v>110</v>
      </c>
      <c r="E18" t="s">
        <v>114</v>
      </c>
      <c r="F18" t="s">
        <v>119</v>
      </c>
      <c r="G18">
        <v>8</v>
      </c>
      <c r="H18">
        <v>1446.14</v>
      </c>
      <c r="I18" s="2">
        <v>11569.12</v>
      </c>
      <c r="J18" t="s">
        <v>139</v>
      </c>
    </row>
    <row r="19" spans="1:10" x14ac:dyDescent="0.3">
      <c r="A19">
        <v>18</v>
      </c>
      <c r="B19" t="s">
        <v>26</v>
      </c>
      <c r="C19" s="1">
        <v>45518</v>
      </c>
      <c r="D19" t="s">
        <v>113</v>
      </c>
      <c r="E19" t="s">
        <v>115</v>
      </c>
      <c r="F19" t="s">
        <v>130</v>
      </c>
      <c r="G19">
        <v>5</v>
      </c>
      <c r="H19">
        <v>2850.26</v>
      </c>
      <c r="I19" s="2">
        <v>14251.3</v>
      </c>
      <c r="J19" t="s">
        <v>150</v>
      </c>
    </row>
    <row r="20" spans="1:10" x14ac:dyDescent="0.3">
      <c r="A20">
        <v>19</v>
      </c>
      <c r="B20" t="s">
        <v>27</v>
      </c>
      <c r="C20" s="1">
        <v>45574</v>
      </c>
      <c r="D20" t="s">
        <v>113</v>
      </c>
      <c r="E20" t="s">
        <v>116</v>
      </c>
      <c r="F20" t="s">
        <v>124</v>
      </c>
      <c r="G20">
        <v>3</v>
      </c>
      <c r="H20">
        <v>254</v>
      </c>
      <c r="I20" s="2">
        <v>762</v>
      </c>
      <c r="J20" t="s">
        <v>144</v>
      </c>
    </row>
    <row r="21" spans="1:10" x14ac:dyDescent="0.3">
      <c r="A21">
        <v>20</v>
      </c>
      <c r="B21" t="s">
        <v>28</v>
      </c>
      <c r="C21" s="1">
        <v>45387</v>
      </c>
      <c r="D21" t="s">
        <v>110</v>
      </c>
      <c r="E21" t="s">
        <v>114</v>
      </c>
      <c r="F21" t="s">
        <v>119</v>
      </c>
      <c r="G21">
        <v>7</v>
      </c>
      <c r="H21">
        <v>2110.88</v>
      </c>
      <c r="I21" s="2">
        <v>14776.16</v>
      </c>
      <c r="J21" t="s">
        <v>139</v>
      </c>
    </row>
    <row r="22" spans="1:10" x14ac:dyDescent="0.3">
      <c r="A22">
        <v>21</v>
      </c>
      <c r="B22" t="s">
        <v>29</v>
      </c>
      <c r="C22" s="1">
        <v>45320</v>
      </c>
      <c r="D22" t="s">
        <v>110</v>
      </c>
      <c r="E22" t="s">
        <v>114</v>
      </c>
      <c r="F22" t="s">
        <v>132</v>
      </c>
      <c r="G22">
        <v>7</v>
      </c>
      <c r="H22">
        <v>1519.78</v>
      </c>
      <c r="I22" s="2">
        <v>10638.46</v>
      </c>
      <c r="J22" t="s">
        <v>152</v>
      </c>
    </row>
    <row r="23" spans="1:10" x14ac:dyDescent="0.3">
      <c r="A23">
        <v>22</v>
      </c>
      <c r="B23" t="s">
        <v>30</v>
      </c>
      <c r="C23" s="1">
        <v>45575</v>
      </c>
      <c r="D23" t="s">
        <v>112</v>
      </c>
      <c r="E23" t="s">
        <v>116</v>
      </c>
      <c r="F23" t="s">
        <v>131</v>
      </c>
      <c r="G23">
        <v>9</v>
      </c>
      <c r="H23">
        <v>616.91999999999996</v>
      </c>
      <c r="I23" s="2">
        <v>5552.28</v>
      </c>
      <c r="J23" t="s">
        <v>151</v>
      </c>
    </row>
    <row r="24" spans="1:10" x14ac:dyDescent="0.3">
      <c r="A24">
        <v>23</v>
      </c>
      <c r="B24" t="s">
        <v>20</v>
      </c>
      <c r="C24" s="1">
        <v>45319</v>
      </c>
      <c r="D24" t="s">
        <v>110</v>
      </c>
      <c r="E24" t="s">
        <v>117</v>
      </c>
      <c r="F24" t="s">
        <v>133</v>
      </c>
      <c r="G24">
        <v>7</v>
      </c>
      <c r="H24">
        <v>4490.8500000000004</v>
      </c>
      <c r="I24" s="2">
        <v>31435.95</v>
      </c>
      <c r="J24" t="s">
        <v>153</v>
      </c>
    </row>
    <row r="25" spans="1:10" x14ac:dyDescent="0.3">
      <c r="A25">
        <v>24</v>
      </c>
      <c r="B25" t="s">
        <v>31</v>
      </c>
      <c r="C25" s="1">
        <v>45516</v>
      </c>
      <c r="D25" t="s">
        <v>113</v>
      </c>
      <c r="E25" t="s">
        <v>118</v>
      </c>
      <c r="F25" t="s">
        <v>134</v>
      </c>
      <c r="G25">
        <v>9</v>
      </c>
      <c r="H25">
        <v>4108.2700000000004</v>
      </c>
      <c r="I25" s="2">
        <v>36974.43</v>
      </c>
      <c r="J25" t="s">
        <v>154</v>
      </c>
    </row>
    <row r="26" spans="1:10" x14ac:dyDescent="0.3">
      <c r="A26">
        <v>25</v>
      </c>
      <c r="B26" t="s">
        <v>32</v>
      </c>
      <c r="C26" s="1">
        <v>45489</v>
      </c>
      <c r="D26" t="s">
        <v>110</v>
      </c>
      <c r="E26" t="s">
        <v>115</v>
      </c>
      <c r="F26" t="s">
        <v>130</v>
      </c>
      <c r="G26">
        <v>5</v>
      </c>
      <c r="H26">
        <v>3492.94</v>
      </c>
      <c r="I26" s="2">
        <v>17464.7</v>
      </c>
      <c r="J26" t="s">
        <v>150</v>
      </c>
    </row>
    <row r="27" spans="1:10" x14ac:dyDescent="0.3">
      <c r="A27">
        <v>26</v>
      </c>
      <c r="B27" t="s">
        <v>20</v>
      </c>
      <c r="C27" s="1">
        <v>45443</v>
      </c>
      <c r="D27" t="s">
        <v>111</v>
      </c>
      <c r="E27" t="s">
        <v>115</v>
      </c>
      <c r="F27" t="s">
        <v>135</v>
      </c>
      <c r="G27">
        <v>8</v>
      </c>
      <c r="H27">
        <v>3544.79</v>
      </c>
      <c r="I27" s="2">
        <v>28358.32</v>
      </c>
      <c r="J27" t="s">
        <v>155</v>
      </c>
    </row>
    <row r="28" spans="1:10" x14ac:dyDescent="0.3">
      <c r="A28">
        <v>27</v>
      </c>
      <c r="B28" t="s">
        <v>33</v>
      </c>
      <c r="C28" s="1">
        <v>45343</v>
      </c>
      <c r="D28" t="s">
        <v>110</v>
      </c>
      <c r="E28" t="s">
        <v>116</v>
      </c>
      <c r="F28" t="s">
        <v>136</v>
      </c>
      <c r="G28">
        <v>1</v>
      </c>
      <c r="H28">
        <v>825.63</v>
      </c>
      <c r="I28" s="2">
        <v>825.63</v>
      </c>
      <c r="J28" t="s">
        <v>156</v>
      </c>
    </row>
    <row r="29" spans="1:10" x14ac:dyDescent="0.3">
      <c r="A29">
        <v>28</v>
      </c>
      <c r="B29" t="s">
        <v>34</v>
      </c>
      <c r="C29" s="1">
        <v>45372</v>
      </c>
      <c r="D29" t="s">
        <v>111</v>
      </c>
      <c r="E29" t="s">
        <v>118</v>
      </c>
      <c r="F29" t="s">
        <v>137</v>
      </c>
      <c r="G29">
        <v>2</v>
      </c>
      <c r="H29">
        <v>2114.08</v>
      </c>
      <c r="I29" s="2">
        <v>4228.16</v>
      </c>
      <c r="J29" t="s">
        <v>157</v>
      </c>
    </row>
    <row r="30" spans="1:10" x14ac:dyDescent="0.3">
      <c r="A30">
        <v>29</v>
      </c>
      <c r="B30" t="s">
        <v>35</v>
      </c>
      <c r="C30" s="1">
        <v>45515</v>
      </c>
      <c r="D30" t="s">
        <v>113</v>
      </c>
      <c r="E30" t="s">
        <v>118</v>
      </c>
      <c r="F30" t="s">
        <v>134</v>
      </c>
      <c r="G30">
        <v>2</v>
      </c>
      <c r="H30">
        <v>2701.58</v>
      </c>
      <c r="I30" s="2">
        <v>5403.16</v>
      </c>
      <c r="J30" t="s">
        <v>154</v>
      </c>
    </row>
    <row r="31" spans="1:10" x14ac:dyDescent="0.3">
      <c r="A31">
        <v>30</v>
      </c>
      <c r="B31" t="s">
        <v>12</v>
      </c>
      <c r="C31" s="1">
        <v>45451</v>
      </c>
      <c r="D31" t="s">
        <v>112</v>
      </c>
      <c r="E31" t="s">
        <v>117</v>
      </c>
      <c r="F31" t="s">
        <v>125</v>
      </c>
      <c r="G31">
        <v>8</v>
      </c>
      <c r="H31">
        <v>1264.42</v>
      </c>
      <c r="I31" s="2">
        <v>10115.36</v>
      </c>
      <c r="J31" t="s">
        <v>145</v>
      </c>
    </row>
    <row r="32" spans="1:10" x14ac:dyDescent="0.3">
      <c r="A32">
        <v>31</v>
      </c>
      <c r="B32" t="s">
        <v>36</v>
      </c>
      <c r="C32" s="1">
        <v>45571</v>
      </c>
      <c r="D32" t="s">
        <v>113</v>
      </c>
      <c r="E32" t="s">
        <v>117</v>
      </c>
      <c r="F32" t="s">
        <v>127</v>
      </c>
      <c r="G32">
        <v>6</v>
      </c>
      <c r="H32">
        <v>2054.2399999999998</v>
      </c>
      <c r="I32" s="2">
        <v>12325.44</v>
      </c>
      <c r="J32" t="s">
        <v>147</v>
      </c>
    </row>
    <row r="33" spans="1:10" x14ac:dyDescent="0.3">
      <c r="A33">
        <v>32</v>
      </c>
      <c r="B33" t="s">
        <v>31</v>
      </c>
      <c r="C33" s="1">
        <v>45388</v>
      </c>
      <c r="D33" t="s">
        <v>113</v>
      </c>
      <c r="E33" t="s">
        <v>117</v>
      </c>
      <c r="F33" t="s">
        <v>125</v>
      </c>
      <c r="G33">
        <v>6</v>
      </c>
      <c r="H33">
        <v>3509.48</v>
      </c>
      <c r="I33" s="2">
        <v>21056.880000000001</v>
      </c>
      <c r="J33" t="s">
        <v>145</v>
      </c>
    </row>
    <row r="34" spans="1:10" x14ac:dyDescent="0.3">
      <c r="A34">
        <v>33</v>
      </c>
      <c r="B34" t="s">
        <v>37</v>
      </c>
      <c r="C34" s="1">
        <v>45439</v>
      </c>
      <c r="D34" t="s">
        <v>110</v>
      </c>
      <c r="E34" t="s">
        <v>115</v>
      </c>
      <c r="F34" t="s">
        <v>120</v>
      </c>
      <c r="G34">
        <v>3</v>
      </c>
      <c r="H34">
        <v>3584.63</v>
      </c>
      <c r="I34" s="2">
        <v>10753.89</v>
      </c>
      <c r="J34" t="s">
        <v>140</v>
      </c>
    </row>
    <row r="35" spans="1:10" x14ac:dyDescent="0.3">
      <c r="A35">
        <v>34</v>
      </c>
      <c r="B35" t="s">
        <v>38</v>
      </c>
      <c r="C35" s="1">
        <v>45439</v>
      </c>
      <c r="D35" t="s">
        <v>110</v>
      </c>
      <c r="E35" t="s">
        <v>117</v>
      </c>
      <c r="F35" t="s">
        <v>128</v>
      </c>
      <c r="G35">
        <v>1</v>
      </c>
      <c r="H35">
        <v>2048.1</v>
      </c>
      <c r="I35" s="2">
        <v>2048.1</v>
      </c>
      <c r="J35" t="s">
        <v>148</v>
      </c>
    </row>
    <row r="36" spans="1:10" x14ac:dyDescent="0.3">
      <c r="A36">
        <v>35</v>
      </c>
      <c r="B36" t="s">
        <v>39</v>
      </c>
      <c r="C36" s="1">
        <v>45420</v>
      </c>
      <c r="D36" t="s">
        <v>111</v>
      </c>
      <c r="E36" t="s">
        <v>117</v>
      </c>
      <c r="F36" t="s">
        <v>128</v>
      </c>
      <c r="G36">
        <v>9</v>
      </c>
      <c r="H36">
        <v>1124.45</v>
      </c>
      <c r="I36" s="2">
        <v>10120.049999999999</v>
      </c>
      <c r="J36" t="s">
        <v>148</v>
      </c>
    </row>
    <row r="37" spans="1:10" x14ac:dyDescent="0.3">
      <c r="A37">
        <v>36</v>
      </c>
      <c r="B37" t="s">
        <v>16</v>
      </c>
      <c r="C37" s="1">
        <v>45589</v>
      </c>
      <c r="D37" t="s">
        <v>111</v>
      </c>
      <c r="E37" t="s">
        <v>117</v>
      </c>
      <c r="F37" t="s">
        <v>133</v>
      </c>
      <c r="G37">
        <v>9</v>
      </c>
      <c r="H37">
        <v>2631.52</v>
      </c>
      <c r="I37" s="2">
        <v>23683.68</v>
      </c>
      <c r="J37" t="s">
        <v>153</v>
      </c>
    </row>
    <row r="38" spans="1:10" x14ac:dyDescent="0.3">
      <c r="A38">
        <v>37</v>
      </c>
      <c r="B38" t="s">
        <v>40</v>
      </c>
      <c r="C38" s="1">
        <v>45545</v>
      </c>
      <c r="D38" t="s">
        <v>110</v>
      </c>
      <c r="E38" t="s">
        <v>114</v>
      </c>
      <c r="F38" t="s">
        <v>122</v>
      </c>
      <c r="G38">
        <v>7</v>
      </c>
      <c r="H38">
        <v>1761.25</v>
      </c>
      <c r="I38" s="2">
        <v>12328.75</v>
      </c>
      <c r="J38" t="s">
        <v>142</v>
      </c>
    </row>
    <row r="39" spans="1:10" x14ac:dyDescent="0.3">
      <c r="A39">
        <v>38</v>
      </c>
      <c r="B39" t="s">
        <v>23</v>
      </c>
      <c r="C39" s="1">
        <v>45438</v>
      </c>
      <c r="D39" t="s">
        <v>110</v>
      </c>
      <c r="E39" t="s">
        <v>115</v>
      </c>
      <c r="F39" t="s">
        <v>120</v>
      </c>
      <c r="G39">
        <v>8</v>
      </c>
      <c r="H39">
        <v>2082.09</v>
      </c>
      <c r="I39" s="2">
        <v>16656.72</v>
      </c>
      <c r="J39" t="s">
        <v>140</v>
      </c>
    </row>
    <row r="40" spans="1:10" x14ac:dyDescent="0.3">
      <c r="A40">
        <v>39</v>
      </c>
      <c r="B40" t="s">
        <v>41</v>
      </c>
      <c r="C40" s="1">
        <v>45407</v>
      </c>
      <c r="D40" t="s">
        <v>111</v>
      </c>
      <c r="E40" t="s">
        <v>118</v>
      </c>
      <c r="F40" t="s">
        <v>129</v>
      </c>
      <c r="G40">
        <v>4</v>
      </c>
      <c r="H40">
        <v>4502.92</v>
      </c>
      <c r="I40" s="2">
        <v>18011.68</v>
      </c>
      <c r="J40" t="s">
        <v>149</v>
      </c>
    </row>
    <row r="41" spans="1:10" x14ac:dyDescent="0.3">
      <c r="A41">
        <v>40</v>
      </c>
      <c r="B41" t="s">
        <v>42</v>
      </c>
      <c r="C41" s="1">
        <v>45545</v>
      </c>
      <c r="D41" t="s">
        <v>111</v>
      </c>
      <c r="E41" t="s">
        <v>118</v>
      </c>
      <c r="F41" t="s">
        <v>134</v>
      </c>
      <c r="G41">
        <v>9</v>
      </c>
      <c r="H41">
        <v>124.8</v>
      </c>
      <c r="I41" s="2">
        <v>1123.2</v>
      </c>
      <c r="J41" t="s">
        <v>154</v>
      </c>
    </row>
    <row r="42" spans="1:10" x14ac:dyDescent="0.3">
      <c r="A42">
        <v>41</v>
      </c>
      <c r="B42" t="s">
        <v>43</v>
      </c>
      <c r="C42" s="1">
        <v>45485</v>
      </c>
      <c r="D42" t="s">
        <v>112</v>
      </c>
      <c r="E42" t="s">
        <v>115</v>
      </c>
      <c r="F42" t="s">
        <v>120</v>
      </c>
      <c r="G42">
        <v>9</v>
      </c>
      <c r="H42">
        <v>962.03</v>
      </c>
      <c r="I42" s="2">
        <v>8658.27</v>
      </c>
      <c r="J42" t="s">
        <v>140</v>
      </c>
    </row>
    <row r="43" spans="1:10" x14ac:dyDescent="0.3">
      <c r="A43">
        <v>42</v>
      </c>
      <c r="B43" t="s">
        <v>44</v>
      </c>
      <c r="C43" s="1">
        <v>45580</v>
      </c>
      <c r="D43" t="s">
        <v>112</v>
      </c>
      <c r="E43" t="s">
        <v>114</v>
      </c>
      <c r="F43" t="s">
        <v>132</v>
      </c>
      <c r="G43">
        <v>4</v>
      </c>
      <c r="H43">
        <v>1895.7</v>
      </c>
      <c r="I43" s="2">
        <v>7582.8</v>
      </c>
      <c r="J43" t="s">
        <v>152</v>
      </c>
    </row>
    <row r="44" spans="1:10" x14ac:dyDescent="0.3">
      <c r="A44">
        <v>43</v>
      </c>
      <c r="B44" t="s">
        <v>45</v>
      </c>
      <c r="C44" s="1">
        <v>45426</v>
      </c>
      <c r="D44" t="s">
        <v>111</v>
      </c>
      <c r="E44" t="s">
        <v>118</v>
      </c>
      <c r="F44" t="s">
        <v>129</v>
      </c>
      <c r="G44">
        <v>1</v>
      </c>
      <c r="H44">
        <v>2758.45</v>
      </c>
      <c r="I44" s="2">
        <v>2758.45</v>
      </c>
      <c r="J44" t="s">
        <v>149</v>
      </c>
    </row>
    <row r="45" spans="1:10" x14ac:dyDescent="0.3">
      <c r="A45">
        <v>44</v>
      </c>
      <c r="B45" t="s">
        <v>46</v>
      </c>
      <c r="C45" s="1">
        <v>45313</v>
      </c>
      <c r="D45" t="s">
        <v>112</v>
      </c>
      <c r="E45" t="s">
        <v>114</v>
      </c>
      <c r="F45" t="s">
        <v>119</v>
      </c>
      <c r="G45">
        <v>6</v>
      </c>
      <c r="H45">
        <v>4539.88</v>
      </c>
      <c r="I45" s="2">
        <v>27239.279999999999</v>
      </c>
      <c r="J45" t="s">
        <v>139</v>
      </c>
    </row>
    <row r="46" spans="1:10" x14ac:dyDescent="0.3">
      <c r="A46">
        <v>45</v>
      </c>
      <c r="B46" t="s">
        <v>47</v>
      </c>
      <c r="C46" s="1">
        <v>45517</v>
      </c>
      <c r="D46" t="s">
        <v>113</v>
      </c>
      <c r="E46" t="s">
        <v>118</v>
      </c>
      <c r="F46" t="s">
        <v>129</v>
      </c>
      <c r="G46">
        <v>1</v>
      </c>
      <c r="H46">
        <v>1056.69</v>
      </c>
      <c r="I46" s="2">
        <v>1056.69</v>
      </c>
      <c r="J46" t="s">
        <v>149</v>
      </c>
    </row>
    <row r="47" spans="1:10" x14ac:dyDescent="0.3">
      <c r="A47">
        <v>46</v>
      </c>
      <c r="B47" t="s">
        <v>32</v>
      </c>
      <c r="C47" s="1">
        <v>45438</v>
      </c>
      <c r="D47" t="s">
        <v>110</v>
      </c>
      <c r="E47" t="s">
        <v>115</v>
      </c>
      <c r="F47" t="s">
        <v>120</v>
      </c>
      <c r="G47">
        <v>1</v>
      </c>
      <c r="H47">
        <v>313.66000000000003</v>
      </c>
      <c r="I47" s="2">
        <v>313.66000000000003</v>
      </c>
      <c r="J47" t="s">
        <v>140</v>
      </c>
    </row>
    <row r="48" spans="1:10" x14ac:dyDescent="0.3">
      <c r="A48">
        <v>47</v>
      </c>
      <c r="B48" t="s">
        <v>48</v>
      </c>
      <c r="C48" s="1">
        <v>45511</v>
      </c>
      <c r="D48" t="s">
        <v>112</v>
      </c>
      <c r="E48" t="s">
        <v>114</v>
      </c>
      <c r="F48" t="s">
        <v>121</v>
      </c>
      <c r="G48">
        <v>5</v>
      </c>
      <c r="H48">
        <v>4429.12</v>
      </c>
      <c r="I48" s="2">
        <v>22145.599999999999</v>
      </c>
      <c r="J48" t="s">
        <v>141</v>
      </c>
    </row>
    <row r="49" spans="1:10" x14ac:dyDescent="0.3">
      <c r="A49">
        <v>48</v>
      </c>
      <c r="B49" t="s">
        <v>49</v>
      </c>
      <c r="C49" s="1">
        <v>45571</v>
      </c>
      <c r="D49" t="s">
        <v>113</v>
      </c>
      <c r="E49" t="s">
        <v>118</v>
      </c>
      <c r="F49" t="s">
        <v>137</v>
      </c>
      <c r="G49">
        <v>5</v>
      </c>
      <c r="H49">
        <v>2904.23</v>
      </c>
      <c r="I49" s="2">
        <v>14521.15</v>
      </c>
      <c r="J49" t="s">
        <v>157</v>
      </c>
    </row>
    <row r="50" spans="1:10" x14ac:dyDescent="0.3">
      <c r="A50">
        <v>49</v>
      </c>
      <c r="B50" t="s">
        <v>50</v>
      </c>
      <c r="C50" s="1">
        <v>45407</v>
      </c>
      <c r="D50" t="s">
        <v>111</v>
      </c>
      <c r="E50" t="s">
        <v>114</v>
      </c>
      <c r="F50" t="s">
        <v>122</v>
      </c>
      <c r="G50">
        <v>7</v>
      </c>
      <c r="H50">
        <v>1415.53</v>
      </c>
      <c r="I50" s="2">
        <v>9908.7099999999991</v>
      </c>
      <c r="J50" t="s">
        <v>142</v>
      </c>
    </row>
    <row r="51" spans="1:10" x14ac:dyDescent="0.3">
      <c r="A51">
        <v>50</v>
      </c>
      <c r="B51" t="s">
        <v>51</v>
      </c>
      <c r="C51" s="1">
        <v>45419</v>
      </c>
      <c r="D51" t="s">
        <v>112</v>
      </c>
      <c r="E51" t="s">
        <v>118</v>
      </c>
      <c r="F51" t="s">
        <v>137</v>
      </c>
      <c r="G51">
        <v>6</v>
      </c>
      <c r="H51">
        <v>3510.55</v>
      </c>
      <c r="I51" s="2">
        <v>21063.3</v>
      </c>
      <c r="J51" t="s">
        <v>157</v>
      </c>
    </row>
    <row r="52" spans="1:10" x14ac:dyDescent="0.3">
      <c r="A52">
        <v>51</v>
      </c>
      <c r="B52" t="s">
        <v>23</v>
      </c>
      <c r="C52" s="1">
        <v>45571</v>
      </c>
      <c r="D52" t="s">
        <v>112</v>
      </c>
      <c r="E52" t="s">
        <v>116</v>
      </c>
      <c r="F52" t="s">
        <v>136</v>
      </c>
      <c r="G52">
        <v>2</v>
      </c>
      <c r="H52">
        <v>1680.5</v>
      </c>
      <c r="I52" s="2">
        <v>3361</v>
      </c>
      <c r="J52" t="s">
        <v>156</v>
      </c>
    </row>
    <row r="53" spans="1:10" x14ac:dyDescent="0.3">
      <c r="A53">
        <v>52</v>
      </c>
      <c r="B53" t="s">
        <v>52</v>
      </c>
      <c r="C53" s="1">
        <v>45590</v>
      </c>
      <c r="D53" t="s">
        <v>112</v>
      </c>
      <c r="E53" t="s">
        <v>114</v>
      </c>
      <c r="F53" t="s">
        <v>121</v>
      </c>
      <c r="G53">
        <v>7</v>
      </c>
      <c r="H53">
        <v>2156.9299999999998</v>
      </c>
      <c r="I53" s="2">
        <v>15098.51</v>
      </c>
      <c r="J53" t="s">
        <v>141</v>
      </c>
    </row>
    <row r="54" spans="1:10" x14ac:dyDescent="0.3">
      <c r="A54">
        <v>53</v>
      </c>
      <c r="B54" t="s">
        <v>53</v>
      </c>
      <c r="C54" s="1">
        <v>45304</v>
      </c>
      <c r="D54" t="s">
        <v>110</v>
      </c>
      <c r="E54" t="s">
        <v>116</v>
      </c>
      <c r="F54" t="s">
        <v>136</v>
      </c>
      <c r="G54">
        <v>9</v>
      </c>
      <c r="H54">
        <v>3176.68</v>
      </c>
      <c r="I54" s="2">
        <v>28590.12</v>
      </c>
      <c r="J54" t="s">
        <v>156</v>
      </c>
    </row>
    <row r="55" spans="1:10" x14ac:dyDescent="0.3">
      <c r="A55">
        <v>54</v>
      </c>
      <c r="B55" t="s">
        <v>54</v>
      </c>
      <c r="C55" s="1">
        <v>45555</v>
      </c>
      <c r="D55" t="s">
        <v>110</v>
      </c>
      <c r="E55" t="s">
        <v>117</v>
      </c>
      <c r="F55" t="s">
        <v>125</v>
      </c>
      <c r="G55">
        <v>7</v>
      </c>
      <c r="H55">
        <v>235.32</v>
      </c>
      <c r="I55" s="2">
        <v>1647.24</v>
      </c>
      <c r="J55" t="s">
        <v>145</v>
      </c>
    </row>
    <row r="56" spans="1:10" x14ac:dyDescent="0.3">
      <c r="A56">
        <v>55</v>
      </c>
      <c r="B56" t="s">
        <v>29</v>
      </c>
      <c r="C56" s="1">
        <v>45579</v>
      </c>
      <c r="D56" t="s">
        <v>111</v>
      </c>
      <c r="E56" t="s">
        <v>115</v>
      </c>
      <c r="F56" t="s">
        <v>130</v>
      </c>
      <c r="G56">
        <v>6</v>
      </c>
      <c r="H56">
        <v>2995.08</v>
      </c>
      <c r="I56" s="2">
        <v>17970.48</v>
      </c>
      <c r="J56" t="s">
        <v>150</v>
      </c>
    </row>
    <row r="57" spans="1:10" x14ac:dyDescent="0.3">
      <c r="A57">
        <v>56</v>
      </c>
      <c r="B57" t="s">
        <v>55</v>
      </c>
      <c r="C57" s="1">
        <v>45471</v>
      </c>
      <c r="D57" t="s">
        <v>112</v>
      </c>
      <c r="E57" t="s">
        <v>115</v>
      </c>
      <c r="F57" t="s">
        <v>120</v>
      </c>
      <c r="G57">
        <v>5</v>
      </c>
      <c r="H57">
        <v>2658.99</v>
      </c>
      <c r="I57" s="2">
        <v>13294.95</v>
      </c>
      <c r="J57" t="s">
        <v>140</v>
      </c>
    </row>
    <row r="58" spans="1:10" x14ac:dyDescent="0.3">
      <c r="A58">
        <v>57</v>
      </c>
      <c r="B58" t="s">
        <v>56</v>
      </c>
      <c r="C58" s="1">
        <v>45351</v>
      </c>
      <c r="D58" t="s">
        <v>110</v>
      </c>
      <c r="E58" t="s">
        <v>117</v>
      </c>
      <c r="F58" t="s">
        <v>128</v>
      </c>
      <c r="G58">
        <v>7</v>
      </c>
      <c r="H58">
        <v>518.20000000000005</v>
      </c>
      <c r="I58" s="2">
        <v>3627.4</v>
      </c>
      <c r="J58" t="s">
        <v>148</v>
      </c>
    </row>
    <row r="59" spans="1:10" x14ac:dyDescent="0.3">
      <c r="A59">
        <v>58</v>
      </c>
      <c r="B59" t="s">
        <v>57</v>
      </c>
      <c r="C59" s="1">
        <v>45338</v>
      </c>
      <c r="D59" t="s">
        <v>111</v>
      </c>
      <c r="E59" t="s">
        <v>117</v>
      </c>
      <c r="F59" t="s">
        <v>133</v>
      </c>
      <c r="G59">
        <v>2</v>
      </c>
      <c r="H59">
        <v>2629.87</v>
      </c>
      <c r="I59" s="2">
        <v>5259.74</v>
      </c>
      <c r="J59" t="s">
        <v>153</v>
      </c>
    </row>
    <row r="60" spans="1:10" x14ac:dyDescent="0.3">
      <c r="A60">
        <v>59</v>
      </c>
      <c r="B60" t="s">
        <v>35</v>
      </c>
      <c r="C60" s="1">
        <v>45438</v>
      </c>
      <c r="D60" t="s">
        <v>113</v>
      </c>
      <c r="E60" t="s">
        <v>115</v>
      </c>
      <c r="F60" t="s">
        <v>120</v>
      </c>
      <c r="G60">
        <v>7</v>
      </c>
      <c r="H60">
        <v>1329.22</v>
      </c>
      <c r="I60" s="2">
        <v>9304.5400000000009</v>
      </c>
      <c r="J60" t="s">
        <v>140</v>
      </c>
    </row>
    <row r="61" spans="1:10" x14ac:dyDescent="0.3">
      <c r="A61">
        <v>60</v>
      </c>
      <c r="B61" t="s">
        <v>58</v>
      </c>
      <c r="C61" s="1">
        <v>45408</v>
      </c>
      <c r="D61" t="s">
        <v>112</v>
      </c>
      <c r="E61" t="s">
        <v>118</v>
      </c>
      <c r="F61" t="s">
        <v>129</v>
      </c>
      <c r="G61">
        <v>5</v>
      </c>
      <c r="H61">
        <v>385.15</v>
      </c>
      <c r="I61" s="2">
        <v>1925.75</v>
      </c>
      <c r="J61" t="s">
        <v>149</v>
      </c>
    </row>
    <row r="62" spans="1:10" x14ac:dyDescent="0.3">
      <c r="A62">
        <v>61</v>
      </c>
      <c r="B62" t="s">
        <v>47</v>
      </c>
      <c r="C62" s="1">
        <v>45530</v>
      </c>
      <c r="D62" t="s">
        <v>112</v>
      </c>
      <c r="E62" t="s">
        <v>118</v>
      </c>
      <c r="F62" t="s">
        <v>129</v>
      </c>
      <c r="G62">
        <v>5</v>
      </c>
      <c r="H62">
        <v>3227.53</v>
      </c>
      <c r="I62" s="2">
        <v>16137.65</v>
      </c>
      <c r="J62" t="s">
        <v>149</v>
      </c>
    </row>
    <row r="63" spans="1:10" x14ac:dyDescent="0.3">
      <c r="A63">
        <v>62</v>
      </c>
      <c r="B63" t="s">
        <v>59</v>
      </c>
      <c r="C63" s="1">
        <v>45483</v>
      </c>
      <c r="D63" t="s">
        <v>111</v>
      </c>
      <c r="E63" t="s">
        <v>114</v>
      </c>
      <c r="F63" t="s">
        <v>121</v>
      </c>
      <c r="G63">
        <v>7</v>
      </c>
      <c r="H63">
        <v>333.81</v>
      </c>
      <c r="I63" s="2">
        <v>2336.67</v>
      </c>
      <c r="J63" t="s">
        <v>141</v>
      </c>
    </row>
    <row r="64" spans="1:10" x14ac:dyDescent="0.3">
      <c r="A64">
        <v>63</v>
      </c>
      <c r="B64" t="s">
        <v>60</v>
      </c>
      <c r="C64" s="1">
        <v>45435</v>
      </c>
      <c r="D64" t="s">
        <v>111</v>
      </c>
      <c r="E64" t="s">
        <v>114</v>
      </c>
      <c r="F64" t="s">
        <v>121</v>
      </c>
      <c r="G64">
        <v>9</v>
      </c>
      <c r="H64">
        <v>1775.21</v>
      </c>
      <c r="I64" s="2">
        <v>15976.89</v>
      </c>
      <c r="J64" t="s">
        <v>141</v>
      </c>
    </row>
    <row r="65" spans="1:10" x14ac:dyDescent="0.3">
      <c r="A65">
        <v>64</v>
      </c>
      <c r="B65" t="s">
        <v>36</v>
      </c>
      <c r="C65" s="1">
        <v>45360</v>
      </c>
      <c r="D65" t="s">
        <v>111</v>
      </c>
      <c r="E65" t="s">
        <v>118</v>
      </c>
      <c r="F65" t="s">
        <v>137</v>
      </c>
      <c r="G65">
        <v>4</v>
      </c>
      <c r="H65">
        <v>959.12</v>
      </c>
      <c r="I65" s="2">
        <v>3836.48</v>
      </c>
      <c r="J65" t="s">
        <v>157</v>
      </c>
    </row>
    <row r="66" spans="1:10" x14ac:dyDescent="0.3">
      <c r="A66">
        <v>65</v>
      </c>
      <c r="B66" t="s">
        <v>61</v>
      </c>
      <c r="C66" s="1">
        <v>45509</v>
      </c>
      <c r="D66" t="s">
        <v>112</v>
      </c>
      <c r="E66" t="s">
        <v>114</v>
      </c>
      <c r="F66" t="s">
        <v>119</v>
      </c>
      <c r="G66">
        <v>4</v>
      </c>
      <c r="H66">
        <v>948.69</v>
      </c>
      <c r="I66" s="2">
        <v>3794.76</v>
      </c>
      <c r="J66" t="s">
        <v>139</v>
      </c>
    </row>
    <row r="67" spans="1:10" x14ac:dyDescent="0.3">
      <c r="A67">
        <v>66</v>
      </c>
      <c r="B67" t="s">
        <v>27</v>
      </c>
      <c r="C67" s="1">
        <v>45314</v>
      </c>
      <c r="D67" t="s">
        <v>112</v>
      </c>
      <c r="E67" t="s">
        <v>116</v>
      </c>
      <c r="F67" t="s">
        <v>124</v>
      </c>
      <c r="G67">
        <v>5</v>
      </c>
      <c r="H67">
        <v>4444.7299999999996</v>
      </c>
      <c r="I67" s="2">
        <v>22223.65</v>
      </c>
      <c r="J67" t="s">
        <v>144</v>
      </c>
    </row>
    <row r="68" spans="1:10" x14ac:dyDescent="0.3">
      <c r="A68">
        <v>67</v>
      </c>
      <c r="B68" t="s">
        <v>62</v>
      </c>
      <c r="C68" s="1">
        <v>45514</v>
      </c>
      <c r="D68" t="s">
        <v>112</v>
      </c>
      <c r="E68" t="s">
        <v>116</v>
      </c>
      <c r="F68" t="s">
        <v>136</v>
      </c>
      <c r="G68">
        <v>1</v>
      </c>
      <c r="H68">
        <v>2742.95</v>
      </c>
      <c r="I68" s="2">
        <v>2742.95</v>
      </c>
      <c r="J68" t="s">
        <v>156</v>
      </c>
    </row>
    <row r="69" spans="1:10" x14ac:dyDescent="0.3">
      <c r="A69">
        <v>68</v>
      </c>
      <c r="B69" t="s">
        <v>52</v>
      </c>
      <c r="C69" s="1">
        <v>45307</v>
      </c>
      <c r="D69" t="s">
        <v>110</v>
      </c>
      <c r="E69" t="s">
        <v>116</v>
      </c>
      <c r="F69" t="s">
        <v>131</v>
      </c>
      <c r="G69">
        <v>4</v>
      </c>
      <c r="H69">
        <v>2919.82</v>
      </c>
      <c r="I69" s="2">
        <v>11679.28</v>
      </c>
      <c r="J69" t="s">
        <v>151</v>
      </c>
    </row>
    <row r="70" spans="1:10" x14ac:dyDescent="0.3">
      <c r="A70">
        <v>69</v>
      </c>
      <c r="B70" t="s">
        <v>24</v>
      </c>
      <c r="C70" s="1">
        <v>45454</v>
      </c>
      <c r="D70" t="s">
        <v>110</v>
      </c>
      <c r="E70" t="s">
        <v>118</v>
      </c>
      <c r="F70" t="s">
        <v>138</v>
      </c>
      <c r="G70">
        <v>3</v>
      </c>
      <c r="H70">
        <v>4121.13</v>
      </c>
      <c r="I70" s="2">
        <v>12363.39</v>
      </c>
      <c r="J70" t="s">
        <v>158</v>
      </c>
    </row>
    <row r="71" spans="1:10" x14ac:dyDescent="0.3">
      <c r="A71">
        <v>70</v>
      </c>
      <c r="B71" t="s">
        <v>25</v>
      </c>
      <c r="C71" s="1">
        <v>45356</v>
      </c>
      <c r="D71" t="s">
        <v>113</v>
      </c>
      <c r="E71" t="s">
        <v>116</v>
      </c>
      <c r="F71" t="s">
        <v>136</v>
      </c>
      <c r="G71">
        <v>2</v>
      </c>
      <c r="H71">
        <v>290.92</v>
      </c>
      <c r="I71" s="2">
        <v>581.84</v>
      </c>
      <c r="J71" t="s">
        <v>156</v>
      </c>
    </row>
    <row r="72" spans="1:10" x14ac:dyDescent="0.3">
      <c r="A72">
        <v>71</v>
      </c>
      <c r="B72" t="s">
        <v>63</v>
      </c>
      <c r="C72" s="1">
        <v>45506</v>
      </c>
      <c r="D72" t="s">
        <v>113</v>
      </c>
      <c r="E72" t="s">
        <v>116</v>
      </c>
      <c r="F72" t="s">
        <v>126</v>
      </c>
      <c r="G72">
        <v>2</v>
      </c>
      <c r="H72">
        <v>1377.4</v>
      </c>
      <c r="I72" s="2">
        <v>2754.8</v>
      </c>
      <c r="J72" t="s">
        <v>146</v>
      </c>
    </row>
    <row r="73" spans="1:10" x14ac:dyDescent="0.3">
      <c r="A73">
        <v>72</v>
      </c>
      <c r="B73" t="s">
        <v>64</v>
      </c>
      <c r="C73" s="1">
        <v>45487</v>
      </c>
      <c r="D73" t="s">
        <v>112</v>
      </c>
      <c r="E73" t="s">
        <v>114</v>
      </c>
      <c r="F73" t="s">
        <v>121</v>
      </c>
      <c r="G73">
        <v>8</v>
      </c>
      <c r="H73">
        <v>3701.85</v>
      </c>
      <c r="I73" s="2">
        <v>29614.799999999999</v>
      </c>
      <c r="J73" t="s">
        <v>141</v>
      </c>
    </row>
    <row r="74" spans="1:10" x14ac:dyDescent="0.3">
      <c r="A74">
        <v>73</v>
      </c>
      <c r="B74" t="s">
        <v>40</v>
      </c>
      <c r="C74" s="1">
        <v>45540</v>
      </c>
      <c r="D74" t="s">
        <v>110</v>
      </c>
      <c r="E74" t="s">
        <v>116</v>
      </c>
      <c r="F74" t="s">
        <v>131</v>
      </c>
      <c r="G74">
        <v>9</v>
      </c>
      <c r="H74">
        <v>2885.75</v>
      </c>
      <c r="I74" s="2">
        <v>25971.75</v>
      </c>
      <c r="J74" t="s">
        <v>151</v>
      </c>
    </row>
    <row r="75" spans="1:10" x14ac:dyDescent="0.3">
      <c r="A75">
        <v>74</v>
      </c>
      <c r="B75" t="s">
        <v>11</v>
      </c>
      <c r="C75" s="1">
        <v>45468</v>
      </c>
      <c r="D75" t="s">
        <v>111</v>
      </c>
      <c r="E75" t="s">
        <v>117</v>
      </c>
      <c r="F75" t="s">
        <v>127</v>
      </c>
      <c r="G75">
        <v>1</v>
      </c>
      <c r="H75">
        <v>3904.42</v>
      </c>
      <c r="I75" s="2">
        <v>3904.42</v>
      </c>
      <c r="J75" t="s">
        <v>147</v>
      </c>
    </row>
    <row r="76" spans="1:10" x14ac:dyDescent="0.3">
      <c r="A76">
        <v>75</v>
      </c>
      <c r="B76" t="s">
        <v>65</v>
      </c>
      <c r="C76" s="1">
        <v>45442</v>
      </c>
      <c r="D76" t="s">
        <v>112</v>
      </c>
      <c r="E76" t="s">
        <v>114</v>
      </c>
      <c r="F76" t="s">
        <v>132</v>
      </c>
      <c r="G76">
        <v>1</v>
      </c>
      <c r="H76">
        <v>3431.24</v>
      </c>
      <c r="I76" s="2">
        <v>3431.24</v>
      </c>
      <c r="J76" t="s">
        <v>152</v>
      </c>
    </row>
    <row r="77" spans="1:10" x14ac:dyDescent="0.3">
      <c r="A77">
        <v>76</v>
      </c>
      <c r="B77" t="s">
        <v>41</v>
      </c>
      <c r="C77" s="1">
        <v>45508</v>
      </c>
      <c r="D77" t="s">
        <v>111</v>
      </c>
      <c r="E77" t="s">
        <v>118</v>
      </c>
      <c r="F77" t="s">
        <v>137</v>
      </c>
      <c r="G77">
        <v>1</v>
      </c>
      <c r="H77">
        <v>2718.2</v>
      </c>
      <c r="I77" s="2">
        <v>2718.2</v>
      </c>
      <c r="J77" t="s">
        <v>157</v>
      </c>
    </row>
    <row r="78" spans="1:10" x14ac:dyDescent="0.3">
      <c r="A78">
        <v>77</v>
      </c>
      <c r="B78" t="s">
        <v>24</v>
      </c>
      <c r="C78" s="1">
        <v>45508</v>
      </c>
      <c r="D78" t="s">
        <v>112</v>
      </c>
      <c r="E78" t="s">
        <v>114</v>
      </c>
      <c r="F78" t="s">
        <v>119</v>
      </c>
      <c r="G78">
        <v>3</v>
      </c>
      <c r="H78">
        <v>2007.09</v>
      </c>
      <c r="I78" s="2">
        <v>6021.27</v>
      </c>
      <c r="J78" t="s">
        <v>139</v>
      </c>
    </row>
    <row r="79" spans="1:10" x14ac:dyDescent="0.3">
      <c r="A79">
        <v>78</v>
      </c>
      <c r="B79" t="s">
        <v>66</v>
      </c>
      <c r="C79" s="1">
        <v>45524</v>
      </c>
      <c r="D79" t="s">
        <v>111</v>
      </c>
      <c r="E79" t="s">
        <v>117</v>
      </c>
      <c r="F79" t="s">
        <v>128</v>
      </c>
      <c r="G79">
        <v>7</v>
      </c>
      <c r="H79">
        <v>4788.32</v>
      </c>
      <c r="I79" s="2">
        <v>33518.239999999998</v>
      </c>
      <c r="J79" t="s">
        <v>148</v>
      </c>
    </row>
    <row r="80" spans="1:10" x14ac:dyDescent="0.3">
      <c r="A80">
        <v>79</v>
      </c>
      <c r="B80" t="s">
        <v>24</v>
      </c>
      <c r="C80" s="1">
        <v>45343</v>
      </c>
      <c r="D80" t="s">
        <v>111</v>
      </c>
      <c r="E80" t="s">
        <v>116</v>
      </c>
      <c r="F80" t="s">
        <v>136</v>
      </c>
      <c r="G80">
        <v>5</v>
      </c>
      <c r="H80">
        <v>549.35</v>
      </c>
      <c r="I80" s="2">
        <v>2746.75</v>
      </c>
      <c r="J80" t="s">
        <v>156</v>
      </c>
    </row>
    <row r="81" spans="1:10" x14ac:dyDescent="0.3">
      <c r="A81">
        <v>80</v>
      </c>
      <c r="B81" t="s">
        <v>36</v>
      </c>
      <c r="C81" s="1">
        <v>45316</v>
      </c>
      <c r="D81" t="s">
        <v>110</v>
      </c>
      <c r="E81" t="s">
        <v>115</v>
      </c>
      <c r="F81" t="s">
        <v>130</v>
      </c>
      <c r="G81">
        <v>4</v>
      </c>
      <c r="H81">
        <v>4736.3500000000004</v>
      </c>
      <c r="I81" s="2">
        <v>18945.400000000001</v>
      </c>
      <c r="J81" t="s">
        <v>150</v>
      </c>
    </row>
    <row r="82" spans="1:10" x14ac:dyDescent="0.3">
      <c r="A82">
        <v>81</v>
      </c>
      <c r="B82" t="s">
        <v>67</v>
      </c>
      <c r="C82" s="1">
        <v>45348</v>
      </c>
      <c r="D82" t="s">
        <v>111</v>
      </c>
      <c r="E82" t="s">
        <v>114</v>
      </c>
      <c r="F82" t="s">
        <v>122</v>
      </c>
      <c r="G82">
        <v>7</v>
      </c>
      <c r="H82">
        <v>4980.0600000000004</v>
      </c>
      <c r="I82" s="2">
        <v>34860.42</v>
      </c>
      <c r="J82" t="s">
        <v>142</v>
      </c>
    </row>
    <row r="83" spans="1:10" x14ac:dyDescent="0.3">
      <c r="A83">
        <v>82</v>
      </c>
      <c r="B83" t="s">
        <v>68</v>
      </c>
      <c r="C83" s="1">
        <v>45454</v>
      </c>
      <c r="D83" t="s">
        <v>111</v>
      </c>
      <c r="E83" t="s">
        <v>114</v>
      </c>
      <c r="F83" t="s">
        <v>119</v>
      </c>
      <c r="G83">
        <v>2</v>
      </c>
      <c r="H83">
        <v>4846.3900000000003</v>
      </c>
      <c r="I83" s="2">
        <v>9692.7800000000007</v>
      </c>
      <c r="J83" t="s">
        <v>139</v>
      </c>
    </row>
    <row r="84" spans="1:10" x14ac:dyDescent="0.3">
      <c r="A84">
        <v>83</v>
      </c>
      <c r="B84" t="s">
        <v>69</v>
      </c>
      <c r="C84" s="1">
        <v>45365</v>
      </c>
      <c r="D84" t="s">
        <v>112</v>
      </c>
      <c r="E84" t="s">
        <v>117</v>
      </c>
      <c r="F84" t="s">
        <v>128</v>
      </c>
      <c r="G84">
        <v>6</v>
      </c>
      <c r="H84">
        <v>512.12</v>
      </c>
      <c r="I84" s="2">
        <v>3072.72</v>
      </c>
      <c r="J84" t="s">
        <v>148</v>
      </c>
    </row>
    <row r="85" spans="1:10" x14ac:dyDescent="0.3">
      <c r="A85">
        <v>84</v>
      </c>
      <c r="B85" t="s">
        <v>48</v>
      </c>
      <c r="C85" s="1">
        <v>45459</v>
      </c>
      <c r="D85" t="s">
        <v>112</v>
      </c>
      <c r="E85" t="s">
        <v>118</v>
      </c>
      <c r="F85" t="s">
        <v>137</v>
      </c>
      <c r="G85">
        <v>2</v>
      </c>
      <c r="H85">
        <v>498.61</v>
      </c>
      <c r="I85" s="2">
        <v>997.22</v>
      </c>
      <c r="J85" t="s">
        <v>157</v>
      </c>
    </row>
    <row r="86" spans="1:10" x14ac:dyDescent="0.3">
      <c r="A86">
        <v>85</v>
      </c>
      <c r="B86" t="s">
        <v>70</v>
      </c>
      <c r="C86" s="1">
        <v>45427</v>
      </c>
      <c r="D86" t="s">
        <v>110</v>
      </c>
      <c r="E86" t="s">
        <v>114</v>
      </c>
      <c r="F86" t="s">
        <v>122</v>
      </c>
      <c r="G86">
        <v>6</v>
      </c>
      <c r="H86">
        <v>4082.72</v>
      </c>
      <c r="I86" s="2">
        <v>24496.32</v>
      </c>
      <c r="J86" t="s">
        <v>142</v>
      </c>
    </row>
    <row r="87" spans="1:10" x14ac:dyDescent="0.3">
      <c r="A87">
        <v>86</v>
      </c>
      <c r="B87" t="s">
        <v>37</v>
      </c>
      <c r="C87" s="1">
        <v>45508</v>
      </c>
      <c r="D87" t="s">
        <v>113</v>
      </c>
      <c r="E87" t="s">
        <v>117</v>
      </c>
      <c r="F87" t="s">
        <v>133</v>
      </c>
      <c r="G87">
        <v>6</v>
      </c>
      <c r="H87">
        <v>3570.09</v>
      </c>
      <c r="I87" s="2">
        <v>21420.54</v>
      </c>
      <c r="J87" t="s">
        <v>153</v>
      </c>
    </row>
    <row r="88" spans="1:10" x14ac:dyDescent="0.3">
      <c r="A88">
        <v>87</v>
      </c>
      <c r="B88" t="s">
        <v>50</v>
      </c>
      <c r="C88" s="1">
        <v>45473</v>
      </c>
      <c r="D88" t="s">
        <v>111</v>
      </c>
      <c r="E88" t="s">
        <v>115</v>
      </c>
      <c r="F88" t="s">
        <v>135</v>
      </c>
      <c r="G88">
        <v>3</v>
      </c>
      <c r="H88">
        <v>644.87</v>
      </c>
      <c r="I88" s="2">
        <v>1934.61</v>
      </c>
      <c r="J88" t="s">
        <v>155</v>
      </c>
    </row>
    <row r="89" spans="1:10" x14ac:dyDescent="0.3">
      <c r="A89">
        <v>88</v>
      </c>
      <c r="B89" t="s">
        <v>47</v>
      </c>
      <c r="C89" s="1">
        <v>45464</v>
      </c>
      <c r="D89" t="s">
        <v>113</v>
      </c>
      <c r="E89" t="s">
        <v>116</v>
      </c>
      <c r="F89" t="s">
        <v>126</v>
      </c>
      <c r="G89">
        <v>4</v>
      </c>
      <c r="H89">
        <v>682.21</v>
      </c>
      <c r="I89" s="2">
        <v>2728.84</v>
      </c>
      <c r="J89" t="s">
        <v>146</v>
      </c>
    </row>
    <row r="90" spans="1:10" x14ac:dyDescent="0.3">
      <c r="A90">
        <v>89</v>
      </c>
      <c r="B90" t="s">
        <v>71</v>
      </c>
      <c r="C90" s="1">
        <v>45292</v>
      </c>
      <c r="D90" t="s">
        <v>111</v>
      </c>
      <c r="E90" t="s">
        <v>114</v>
      </c>
      <c r="F90" t="s">
        <v>132</v>
      </c>
      <c r="G90">
        <v>9</v>
      </c>
      <c r="H90">
        <v>1936.87</v>
      </c>
      <c r="I90" s="2">
        <v>17431.830000000002</v>
      </c>
      <c r="J90" t="s">
        <v>152</v>
      </c>
    </row>
    <row r="91" spans="1:10" x14ac:dyDescent="0.3">
      <c r="A91">
        <v>90</v>
      </c>
      <c r="B91" t="s">
        <v>72</v>
      </c>
      <c r="C91" s="1">
        <v>45408</v>
      </c>
      <c r="D91" t="s">
        <v>112</v>
      </c>
      <c r="E91" t="s">
        <v>116</v>
      </c>
      <c r="F91" t="s">
        <v>126</v>
      </c>
      <c r="G91">
        <v>5</v>
      </c>
      <c r="H91">
        <v>312.66000000000003</v>
      </c>
      <c r="I91" s="2">
        <v>1563.3</v>
      </c>
      <c r="J91" t="s">
        <v>146</v>
      </c>
    </row>
    <row r="92" spans="1:10" x14ac:dyDescent="0.3">
      <c r="A92">
        <v>91</v>
      </c>
      <c r="B92" t="s">
        <v>73</v>
      </c>
      <c r="C92" s="1">
        <v>45494</v>
      </c>
      <c r="D92" t="s">
        <v>110</v>
      </c>
      <c r="E92" t="s">
        <v>114</v>
      </c>
      <c r="F92" t="s">
        <v>132</v>
      </c>
      <c r="G92">
        <v>3</v>
      </c>
      <c r="H92">
        <v>3507.51</v>
      </c>
      <c r="I92" s="2">
        <v>10522.53</v>
      </c>
      <c r="J92" t="s">
        <v>152</v>
      </c>
    </row>
    <row r="93" spans="1:10" x14ac:dyDescent="0.3">
      <c r="A93">
        <v>92</v>
      </c>
      <c r="B93" t="s">
        <v>31</v>
      </c>
      <c r="C93" s="1">
        <v>45338</v>
      </c>
      <c r="D93" t="s">
        <v>113</v>
      </c>
      <c r="E93" t="s">
        <v>118</v>
      </c>
      <c r="F93" t="s">
        <v>137</v>
      </c>
      <c r="G93">
        <v>1</v>
      </c>
      <c r="H93">
        <v>3175.03</v>
      </c>
      <c r="I93" s="2">
        <v>3175.03</v>
      </c>
      <c r="J93" t="s">
        <v>157</v>
      </c>
    </row>
    <row r="94" spans="1:10" x14ac:dyDescent="0.3">
      <c r="A94">
        <v>93</v>
      </c>
      <c r="B94" t="s">
        <v>11</v>
      </c>
      <c r="C94" s="1">
        <v>45435</v>
      </c>
      <c r="D94" t="s">
        <v>111</v>
      </c>
      <c r="E94" t="s">
        <v>118</v>
      </c>
      <c r="F94" t="s">
        <v>134</v>
      </c>
      <c r="G94">
        <v>8</v>
      </c>
      <c r="H94">
        <v>2033.16</v>
      </c>
      <c r="I94" s="2">
        <v>16265.28</v>
      </c>
      <c r="J94" t="s">
        <v>154</v>
      </c>
    </row>
    <row r="95" spans="1:10" x14ac:dyDescent="0.3">
      <c r="A95">
        <v>94</v>
      </c>
      <c r="B95" t="s">
        <v>74</v>
      </c>
      <c r="C95" s="1">
        <v>45447</v>
      </c>
      <c r="D95" t="s">
        <v>113</v>
      </c>
      <c r="E95" t="s">
        <v>116</v>
      </c>
      <c r="F95" t="s">
        <v>126</v>
      </c>
      <c r="G95">
        <v>4</v>
      </c>
      <c r="H95">
        <v>2372.12</v>
      </c>
      <c r="I95" s="2">
        <v>9488.48</v>
      </c>
      <c r="J95" t="s">
        <v>146</v>
      </c>
    </row>
    <row r="96" spans="1:10" x14ac:dyDescent="0.3">
      <c r="A96">
        <v>95</v>
      </c>
      <c r="B96" t="s">
        <v>46</v>
      </c>
      <c r="C96" s="1">
        <v>45469</v>
      </c>
      <c r="D96" t="s">
        <v>110</v>
      </c>
      <c r="E96" t="s">
        <v>117</v>
      </c>
      <c r="F96" t="s">
        <v>128</v>
      </c>
      <c r="G96">
        <v>9</v>
      </c>
      <c r="H96">
        <v>1373.75</v>
      </c>
      <c r="I96" s="2">
        <v>12363.75</v>
      </c>
      <c r="J96" t="s">
        <v>148</v>
      </c>
    </row>
    <row r="97" spans="1:10" x14ac:dyDescent="0.3">
      <c r="A97">
        <v>96</v>
      </c>
      <c r="B97" t="s">
        <v>75</v>
      </c>
      <c r="C97" s="1">
        <v>45436</v>
      </c>
      <c r="D97" t="s">
        <v>113</v>
      </c>
      <c r="E97" t="s">
        <v>118</v>
      </c>
      <c r="F97" t="s">
        <v>138</v>
      </c>
      <c r="G97">
        <v>4</v>
      </c>
      <c r="H97">
        <v>3053.63</v>
      </c>
      <c r="I97" s="2">
        <v>12214.52</v>
      </c>
      <c r="J97" t="s">
        <v>158</v>
      </c>
    </row>
    <row r="98" spans="1:10" x14ac:dyDescent="0.3">
      <c r="A98">
        <v>97</v>
      </c>
      <c r="B98" t="s">
        <v>76</v>
      </c>
      <c r="C98" s="1">
        <v>45337</v>
      </c>
      <c r="D98" t="s">
        <v>111</v>
      </c>
      <c r="E98" t="s">
        <v>114</v>
      </c>
      <c r="F98" t="s">
        <v>121</v>
      </c>
      <c r="G98">
        <v>2</v>
      </c>
      <c r="H98">
        <v>2141.5300000000002</v>
      </c>
      <c r="I98" s="2">
        <v>4283.0600000000004</v>
      </c>
      <c r="J98" t="s">
        <v>141</v>
      </c>
    </row>
    <row r="99" spans="1:10" x14ac:dyDescent="0.3">
      <c r="A99">
        <v>98</v>
      </c>
      <c r="B99" t="s">
        <v>23</v>
      </c>
      <c r="C99" s="1">
        <v>45301</v>
      </c>
      <c r="D99" t="s">
        <v>110</v>
      </c>
      <c r="E99" t="s">
        <v>116</v>
      </c>
      <c r="F99" t="s">
        <v>136</v>
      </c>
      <c r="G99">
        <v>5</v>
      </c>
      <c r="H99">
        <v>229.2</v>
      </c>
      <c r="I99" s="2">
        <v>1146</v>
      </c>
      <c r="J99" t="s">
        <v>156</v>
      </c>
    </row>
    <row r="100" spans="1:10" x14ac:dyDescent="0.3">
      <c r="A100">
        <v>99</v>
      </c>
      <c r="B100" t="s">
        <v>13</v>
      </c>
      <c r="C100" s="1">
        <v>45356</v>
      </c>
      <c r="D100" t="s">
        <v>112</v>
      </c>
      <c r="E100" t="s">
        <v>118</v>
      </c>
      <c r="F100" t="s">
        <v>134</v>
      </c>
      <c r="G100">
        <v>5</v>
      </c>
      <c r="H100">
        <v>3772.93</v>
      </c>
      <c r="I100" s="2">
        <v>18864.650000000001</v>
      </c>
      <c r="J100" t="s">
        <v>154</v>
      </c>
    </row>
    <row r="101" spans="1:10" x14ac:dyDescent="0.3">
      <c r="A101">
        <v>100</v>
      </c>
      <c r="B101" t="s">
        <v>58</v>
      </c>
      <c r="C101" s="1">
        <v>45574</v>
      </c>
      <c r="D101" t="s">
        <v>113</v>
      </c>
      <c r="E101" t="s">
        <v>114</v>
      </c>
      <c r="F101" t="s">
        <v>122</v>
      </c>
      <c r="G101">
        <v>2</v>
      </c>
      <c r="H101">
        <v>280.43</v>
      </c>
      <c r="I101" s="2">
        <v>560.86</v>
      </c>
      <c r="J101" t="s">
        <v>142</v>
      </c>
    </row>
    <row r="102" spans="1:10" x14ac:dyDescent="0.3">
      <c r="A102">
        <v>101</v>
      </c>
      <c r="B102" t="s">
        <v>55</v>
      </c>
      <c r="C102" s="1">
        <v>45297</v>
      </c>
      <c r="D102" t="s">
        <v>110</v>
      </c>
      <c r="E102" t="s">
        <v>118</v>
      </c>
      <c r="F102" t="s">
        <v>138</v>
      </c>
      <c r="G102">
        <v>5</v>
      </c>
      <c r="H102">
        <v>4983.5200000000004</v>
      </c>
      <c r="I102" s="2">
        <v>24917.599999999999</v>
      </c>
      <c r="J102" t="s">
        <v>158</v>
      </c>
    </row>
    <row r="103" spans="1:10" x14ac:dyDescent="0.3">
      <c r="A103">
        <v>102</v>
      </c>
      <c r="B103" t="s">
        <v>17</v>
      </c>
      <c r="C103" s="1">
        <v>45314</v>
      </c>
      <c r="D103" t="s">
        <v>113</v>
      </c>
      <c r="E103" t="s">
        <v>114</v>
      </c>
      <c r="F103" t="s">
        <v>122</v>
      </c>
      <c r="G103">
        <v>3</v>
      </c>
      <c r="H103">
        <v>1312.01</v>
      </c>
      <c r="I103" s="2">
        <v>3936.03</v>
      </c>
      <c r="J103" t="s">
        <v>142</v>
      </c>
    </row>
    <row r="104" spans="1:10" x14ac:dyDescent="0.3">
      <c r="A104">
        <v>103</v>
      </c>
      <c r="B104" t="s">
        <v>77</v>
      </c>
      <c r="C104" s="1">
        <v>45292</v>
      </c>
      <c r="D104" t="s">
        <v>111</v>
      </c>
      <c r="E104" t="s">
        <v>114</v>
      </c>
      <c r="F104" t="s">
        <v>122</v>
      </c>
      <c r="G104">
        <v>4</v>
      </c>
      <c r="H104">
        <v>1220.3499999999999</v>
      </c>
      <c r="I104" s="2">
        <v>4881.3999999999996</v>
      </c>
      <c r="J104" t="s">
        <v>142</v>
      </c>
    </row>
    <row r="105" spans="1:10" x14ac:dyDescent="0.3">
      <c r="A105">
        <v>104</v>
      </c>
      <c r="B105" t="s">
        <v>31</v>
      </c>
      <c r="C105" s="1">
        <v>45325</v>
      </c>
      <c r="D105" t="s">
        <v>110</v>
      </c>
      <c r="E105" t="s">
        <v>116</v>
      </c>
      <c r="F105" t="s">
        <v>124</v>
      </c>
      <c r="G105">
        <v>2</v>
      </c>
      <c r="H105">
        <v>2433.4299999999998</v>
      </c>
      <c r="I105" s="2">
        <v>4866.8599999999997</v>
      </c>
      <c r="J105" t="s">
        <v>144</v>
      </c>
    </row>
    <row r="106" spans="1:10" x14ac:dyDescent="0.3">
      <c r="A106">
        <v>105</v>
      </c>
      <c r="B106" t="s">
        <v>78</v>
      </c>
      <c r="C106" s="1">
        <v>45559</v>
      </c>
      <c r="D106" t="s">
        <v>113</v>
      </c>
      <c r="E106" t="s">
        <v>117</v>
      </c>
      <c r="F106" t="s">
        <v>128</v>
      </c>
      <c r="G106">
        <v>9</v>
      </c>
      <c r="H106">
        <v>2990.78</v>
      </c>
      <c r="I106" s="2">
        <v>26917.02</v>
      </c>
      <c r="J106" t="s">
        <v>148</v>
      </c>
    </row>
    <row r="107" spans="1:10" x14ac:dyDescent="0.3">
      <c r="A107">
        <v>106</v>
      </c>
      <c r="B107" t="s">
        <v>12</v>
      </c>
      <c r="C107" s="1">
        <v>45498</v>
      </c>
      <c r="D107" t="s">
        <v>113</v>
      </c>
      <c r="E107" t="s">
        <v>114</v>
      </c>
      <c r="F107" t="s">
        <v>121</v>
      </c>
      <c r="G107">
        <v>2</v>
      </c>
      <c r="H107">
        <v>4044.72</v>
      </c>
      <c r="I107" s="2">
        <v>8089.44</v>
      </c>
      <c r="J107" t="s">
        <v>141</v>
      </c>
    </row>
    <row r="108" spans="1:10" x14ac:dyDescent="0.3">
      <c r="A108">
        <v>107</v>
      </c>
      <c r="B108" t="s">
        <v>57</v>
      </c>
      <c r="C108" s="1">
        <v>45483</v>
      </c>
      <c r="D108" t="s">
        <v>110</v>
      </c>
      <c r="E108" t="s">
        <v>116</v>
      </c>
      <c r="F108" t="s">
        <v>124</v>
      </c>
      <c r="G108">
        <v>2</v>
      </c>
      <c r="H108">
        <v>2990.6</v>
      </c>
      <c r="I108" s="2">
        <v>5981.2</v>
      </c>
      <c r="J108" t="s">
        <v>144</v>
      </c>
    </row>
    <row r="109" spans="1:10" x14ac:dyDescent="0.3">
      <c r="A109">
        <v>108</v>
      </c>
      <c r="B109" t="s">
        <v>79</v>
      </c>
      <c r="C109" s="1">
        <v>45540</v>
      </c>
      <c r="D109" t="s">
        <v>112</v>
      </c>
      <c r="E109" t="s">
        <v>118</v>
      </c>
      <c r="F109" t="s">
        <v>129</v>
      </c>
      <c r="G109">
        <v>7</v>
      </c>
      <c r="H109">
        <v>2665.65</v>
      </c>
      <c r="I109" s="2">
        <v>18659.55</v>
      </c>
      <c r="J109" t="s">
        <v>149</v>
      </c>
    </row>
    <row r="110" spans="1:10" x14ac:dyDescent="0.3">
      <c r="A110">
        <v>109</v>
      </c>
      <c r="B110" t="s">
        <v>80</v>
      </c>
      <c r="C110" s="1">
        <v>45424</v>
      </c>
      <c r="D110" t="s">
        <v>113</v>
      </c>
      <c r="E110" t="s">
        <v>117</v>
      </c>
      <c r="F110" t="s">
        <v>127</v>
      </c>
      <c r="G110">
        <v>8</v>
      </c>
      <c r="H110">
        <v>4226.25</v>
      </c>
      <c r="I110" s="2">
        <v>33810</v>
      </c>
      <c r="J110" t="s">
        <v>147</v>
      </c>
    </row>
    <row r="111" spans="1:10" x14ac:dyDescent="0.3">
      <c r="A111">
        <v>110</v>
      </c>
      <c r="B111" t="s">
        <v>65</v>
      </c>
      <c r="C111" s="1">
        <v>45360</v>
      </c>
      <c r="D111" t="s">
        <v>112</v>
      </c>
      <c r="E111" t="s">
        <v>114</v>
      </c>
      <c r="F111" t="s">
        <v>121</v>
      </c>
      <c r="G111">
        <v>3</v>
      </c>
      <c r="H111">
        <v>2732.59</v>
      </c>
      <c r="I111" s="2">
        <v>8197.77</v>
      </c>
      <c r="J111" t="s">
        <v>141</v>
      </c>
    </row>
    <row r="112" spans="1:10" x14ac:dyDescent="0.3">
      <c r="A112">
        <v>111</v>
      </c>
      <c r="B112" t="s">
        <v>62</v>
      </c>
      <c r="C112" s="1">
        <v>45474</v>
      </c>
      <c r="D112" t="s">
        <v>110</v>
      </c>
      <c r="E112" t="s">
        <v>115</v>
      </c>
      <c r="F112" t="s">
        <v>135</v>
      </c>
      <c r="G112">
        <v>8</v>
      </c>
      <c r="H112">
        <v>982.33</v>
      </c>
      <c r="I112" s="2">
        <v>7858.64</v>
      </c>
      <c r="J112" t="s">
        <v>155</v>
      </c>
    </row>
    <row r="113" spans="1:10" x14ac:dyDescent="0.3">
      <c r="A113">
        <v>112</v>
      </c>
      <c r="B113" t="s">
        <v>77</v>
      </c>
      <c r="C113" s="1">
        <v>45475</v>
      </c>
      <c r="D113" t="s">
        <v>113</v>
      </c>
      <c r="E113" t="s">
        <v>115</v>
      </c>
      <c r="F113" t="s">
        <v>120</v>
      </c>
      <c r="G113">
        <v>3</v>
      </c>
      <c r="H113">
        <v>2624.66</v>
      </c>
      <c r="I113" s="2">
        <v>7873.98</v>
      </c>
      <c r="J113" t="s">
        <v>140</v>
      </c>
    </row>
    <row r="114" spans="1:10" x14ac:dyDescent="0.3">
      <c r="A114">
        <v>113</v>
      </c>
      <c r="B114" t="s">
        <v>60</v>
      </c>
      <c r="C114" s="1">
        <v>45352</v>
      </c>
      <c r="D114" t="s">
        <v>112</v>
      </c>
      <c r="E114" t="s">
        <v>115</v>
      </c>
      <c r="F114" t="s">
        <v>123</v>
      </c>
      <c r="G114">
        <v>5</v>
      </c>
      <c r="H114">
        <v>927.78</v>
      </c>
      <c r="I114" s="2">
        <v>4638.8999999999996</v>
      </c>
      <c r="J114" t="s">
        <v>143</v>
      </c>
    </row>
    <row r="115" spans="1:10" x14ac:dyDescent="0.3">
      <c r="A115">
        <v>114</v>
      </c>
      <c r="B115" t="s">
        <v>24</v>
      </c>
      <c r="C115" s="1">
        <v>45461</v>
      </c>
      <c r="D115" t="s">
        <v>113</v>
      </c>
      <c r="E115" t="s">
        <v>114</v>
      </c>
      <c r="F115" t="s">
        <v>121</v>
      </c>
      <c r="G115">
        <v>1</v>
      </c>
      <c r="H115">
        <v>2718.68</v>
      </c>
      <c r="I115" s="2">
        <v>2718.68</v>
      </c>
      <c r="J115" t="s">
        <v>141</v>
      </c>
    </row>
    <row r="116" spans="1:10" x14ac:dyDescent="0.3">
      <c r="A116">
        <v>115</v>
      </c>
      <c r="B116" t="s">
        <v>78</v>
      </c>
      <c r="C116" s="1">
        <v>45337</v>
      </c>
      <c r="D116" t="s">
        <v>112</v>
      </c>
      <c r="E116" t="s">
        <v>118</v>
      </c>
      <c r="F116" t="s">
        <v>137</v>
      </c>
      <c r="G116">
        <v>9</v>
      </c>
      <c r="H116">
        <v>552.22</v>
      </c>
      <c r="I116" s="2">
        <v>4969.9799999999996</v>
      </c>
      <c r="J116" t="s">
        <v>157</v>
      </c>
    </row>
    <row r="117" spans="1:10" x14ac:dyDescent="0.3">
      <c r="A117">
        <v>116</v>
      </c>
      <c r="B117" t="s">
        <v>58</v>
      </c>
      <c r="C117" s="1">
        <v>45412</v>
      </c>
      <c r="D117" t="s">
        <v>112</v>
      </c>
      <c r="E117" t="s">
        <v>115</v>
      </c>
      <c r="F117" t="s">
        <v>123</v>
      </c>
      <c r="G117">
        <v>1</v>
      </c>
      <c r="H117">
        <v>1456.7</v>
      </c>
      <c r="I117" s="2">
        <v>1456.7</v>
      </c>
      <c r="J117" t="s">
        <v>143</v>
      </c>
    </row>
    <row r="118" spans="1:10" x14ac:dyDescent="0.3">
      <c r="A118">
        <v>117</v>
      </c>
      <c r="B118" t="s">
        <v>33</v>
      </c>
      <c r="C118" s="1">
        <v>45299</v>
      </c>
      <c r="D118" t="s">
        <v>113</v>
      </c>
      <c r="E118" t="s">
        <v>115</v>
      </c>
      <c r="F118" t="s">
        <v>130</v>
      </c>
      <c r="G118">
        <v>4</v>
      </c>
      <c r="H118">
        <v>1125.81</v>
      </c>
      <c r="I118" s="2">
        <v>4503.24</v>
      </c>
      <c r="J118" t="s">
        <v>150</v>
      </c>
    </row>
    <row r="119" spans="1:10" x14ac:dyDescent="0.3">
      <c r="A119">
        <v>118</v>
      </c>
      <c r="B119" t="s">
        <v>16</v>
      </c>
      <c r="C119" s="1">
        <v>45505</v>
      </c>
      <c r="D119" t="s">
        <v>112</v>
      </c>
      <c r="E119" t="s">
        <v>116</v>
      </c>
      <c r="F119" t="s">
        <v>126</v>
      </c>
      <c r="G119">
        <v>7</v>
      </c>
      <c r="H119">
        <v>2703.2</v>
      </c>
      <c r="I119" s="2">
        <v>18922.400000000001</v>
      </c>
      <c r="J119" t="s">
        <v>146</v>
      </c>
    </row>
    <row r="120" spans="1:10" x14ac:dyDescent="0.3">
      <c r="A120">
        <v>119</v>
      </c>
      <c r="B120" t="s">
        <v>65</v>
      </c>
      <c r="C120" s="1">
        <v>45445</v>
      </c>
      <c r="D120" t="s">
        <v>112</v>
      </c>
      <c r="E120" t="s">
        <v>115</v>
      </c>
      <c r="F120" t="s">
        <v>120</v>
      </c>
      <c r="G120">
        <v>3</v>
      </c>
      <c r="H120">
        <v>3595.41</v>
      </c>
      <c r="I120" s="2">
        <v>10786.23</v>
      </c>
      <c r="J120" t="s">
        <v>140</v>
      </c>
    </row>
    <row r="121" spans="1:10" x14ac:dyDescent="0.3">
      <c r="A121">
        <v>120</v>
      </c>
      <c r="B121" t="s">
        <v>40</v>
      </c>
      <c r="C121" s="1">
        <v>45529</v>
      </c>
      <c r="D121" t="s">
        <v>111</v>
      </c>
      <c r="E121" t="s">
        <v>117</v>
      </c>
      <c r="F121" t="s">
        <v>128</v>
      </c>
      <c r="G121">
        <v>2</v>
      </c>
      <c r="H121">
        <v>2292.3200000000002</v>
      </c>
      <c r="I121" s="2">
        <v>4584.6400000000003</v>
      </c>
      <c r="J121" t="s">
        <v>148</v>
      </c>
    </row>
    <row r="122" spans="1:10" x14ac:dyDescent="0.3">
      <c r="A122">
        <v>121</v>
      </c>
      <c r="B122" t="s">
        <v>38</v>
      </c>
      <c r="C122" s="1">
        <v>45306</v>
      </c>
      <c r="D122" t="s">
        <v>110</v>
      </c>
      <c r="E122" t="s">
        <v>118</v>
      </c>
      <c r="F122" t="s">
        <v>134</v>
      </c>
      <c r="G122">
        <v>5</v>
      </c>
      <c r="H122">
        <v>993.19</v>
      </c>
      <c r="I122" s="2">
        <v>4965.95</v>
      </c>
      <c r="J122" t="s">
        <v>154</v>
      </c>
    </row>
    <row r="123" spans="1:10" x14ac:dyDescent="0.3">
      <c r="A123">
        <v>122</v>
      </c>
      <c r="B123" t="s">
        <v>41</v>
      </c>
      <c r="C123" s="1">
        <v>45564</v>
      </c>
      <c r="D123" t="s">
        <v>111</v>
      </c>
      <c r="E123" t="s">
        <v>116</v>
      </c>
      <c r="F123" t="s">
        <v>124</v>
      </c>
      <c r="G123">
        <v>9</v>
      </c>
      <c r="H123">
        <v>4463.58</v>
      </c>
      <c r="I123" s="2">
        <v>40172.22</v>
      </c>
      <c r="J123" t="s">
        <v>144</v>
      </c>
    </row>
    <row r="124" spans="1:10" x14ac:dyDescent="0.3">
      <c r="A124">
        <v>123</v>
      </c>
      <c r="B124" t="s">
        <v>81</v>
      </c>
      <c r="C124" s="1">
        <v>45316</v>
      </c>
      <c r="D124" t="s">
        <v>110</v>
      </c>
      <c r="E124" t="s">
        <v>116</v>
      </c>
      <c r="F124" t="s">
        <v>136</v>
      </c>
      <c r="G124">
        <v>9</v>
      </c>
      <c r="H124">
        <v>2542.37</v>
      </c>
      <c r="I124" s="2">
        <v>22881.33</v>
      </c>
      <c r="J124" t="s">
        <v>156</v>
      </c>
    </row>
    <row r="125" spans="1:10" x14ac:dyDescent="0.3">
      <c r="A125">
        <v>124</v>
      </c>
      <c r="B125" t="s">
        <v>10</v>
      </c>
      <c r="C125" s="1">
        <v>45402</v>
      </c>
      <c r="D125" t="s">
        <v>112</v>
      </c>
      <c r="E125" t="s">
        <v>116</v>
      </c>
      <c r="F125" t="s">
        <v>136</v>
      </c>
      <c r="G125">
        <v>8</v>
      </c>
      <c r="H125">
        <v>2974.02</v>
      </c>
      <c r="I125" s="2">
        <v>23792.16</v>
      </c>
      <c r="J125" t="s">
        <v>156</v>
      </c>
    </row>
    <row r="126" spans="1:10" x14ac:dyDescent="0.3">
      <c r="A126">
        <v>125</v>
      </c>
      <c r="B126" t="s">
        <v>54</v>
      </c>
      <c r="C126" s="1">
        <v>45333</v>
      </c>
      <c r="D126" t="s">
        <v>113</v>
      </c>
      <c r="E126" t="s">
        <v>114</v>
      </c>
      <c r="F126" t="s">
        <v>121</v>
      </c>
      <c r="G126">
        <v>4</v>
      </c>
      <c r="H126">
        <v>3264.99</v>
      </c>
      <c r="I126" s="2">
        <v>13059.96</v>
      </c>
      <c r="J126" t="s">
        <v>141</v>
      </c>
    </row>
    <row r="127" spans="1:10" x14ac:dyDescent="0.3">
      <c r="A127">
        <v>126</v>
      </c>
      <c r="B127" t="s">
        <v>82</v>
      </c>
      <c r="C127" s="1">
        <v>45520</v>
      </c>
      <c r="D127" t="s">
        <v>113</v>
      </c>
      <c r="E127" t="s">
        <v>118</v>
      </c>
      <c r="F127" t="s">
        <v>138</v>
      </c>
      <c r="G127">
        <v>6</v>
      </c>
      <c r="H127">
        <v>1204.1300000000001</v>
      </c>
      <c r="I127" s="2">
        <v>7224.78</v>
      </c>
      <c r="J127" t="s">
        <v>158</v>
      </c>
    </row>
    <row r="128" spans="1:10" x14ac:dyDescent="0.3">
      <c r="A128">
        <v>127</v>
      </c>
      <c r="B128" t="s">
        <v>31</v>
      </c>
      <c r="C128" s="1">
        <v>45403</v>
      </c>
      <c r="D128" t="s">
        <v>110</v>
      </c>
      <c r="E128" t="s">
        <v>115</v>
      </c>
      <c r="F128" t="s">
        <v>135</v>
      </c>
      <c r="G128">
        <v>8</v>
      </c>
      <c r="H128">
        <v>4494.1499999999996</v>
      </c>
      <c r="I128" s="2">
        <v>35953.199999999997</v>
      </c>
      <c r="J128" t="s">
        <v>155</v>
      </c>
    </row>
    <row r="129" spans="1:10" x14ac:dyDescent="0.3">
      <c r="A129">
        <v>128</v>
      </c>
      <c r="B129" t="s">
        <v>83</v>
      </c>
      <c r="C129" s="1">
        <v>45534</v>
      </c>
      <c r="D129" t="s">
        <v>111</v>
      </c>
      <c r="E129" t="s">
        <v>114</v>
      </c>
      <c r="F129" t="s">
        <v>132</v>
      </c>
      <c r="G129">
        <v>8</v>
      </c>
      <c r="H129">
        <v>648.99</v>
      </c>
      <c r="I129" s="2">
        <v>5191.92</v>
      </c>
      <c r="J129" t="s">
        <v>152</v>
      </c>
    </row>
    <row r="130" spans="1:10" x14ac:dyDescent="0.3">
      <c r="A130">
        <v>129</v>
      </c>
      <c r="B130" t="s">
        <v>61</v>
      </c>
      <c r="C130" s="1">
        <v>45511</v>
      </c>
      <c r="D130" t="s">
        <v>111</v>
      </c>
      <c r="E130" t="s">
        <v>117</v>
      </c>
      <c r="F130" t="s">
        <v>125</v>
      </c>
      <c r="G130">
        <v>6</v>
      </c>
      <c r="H130">
        <v>4877.83</v>
      </c>
      <c r="I130" s="2">
        <v>29266.98</v>
      </c>
      <c r="J130" t="s">
        <v>145</v>
      </c>
    </row>
    <row r="131" spans="1:10" x14ac:dyDescent="0.3">
      <c r="A131">
        <v>130</v>
      </c>
      <c r="B131" t="s">
        <v>21</v>
      </c>
      <c r="C131" s="1">
        <v>45353</v>
      </c>
      <c r="D131" t="s">
        <v>113</v>
      </c>
      <c r="E131" t="s">
        <v>116</v>
      </c>
      <c r="F131" t="s">
        <v>136</v>
      </c>
      <c r="G131">
        <v>8</v>
      </c>
      <c r="H131">
        <v>2435.44</v>
      </c>
      <c r="I131" s="2">
        <v>19483.52</v>
      </c>
      <c r="J131" t="s">
        <v>156</v>
      </c>
    </row>
    <row r="132" spans="1:10" x14ac:dyDescent="0.3">
      <c r="A132">
        <v>131</v>
      </c>
      <c r="B132" t="s">
        <v>84</v>
      </c>
      <c r="C132" s="1">
        <v>45591</v>
      </c>
      <c r="D132" t="s">
        <v>113</v>
      </c>
      <c r="E132" t="s">
        <v>116</v>
      </c>
      <c r="F132" t="s">
        <v>124</v>
      </c>
      <c r="G132">
        <v>4</v>
      </c>
      <c r="H132">
        <v>2184.64</v>
      </c>
      <c r="I132" s="2">
        <v>8738.56</v>
      </c>
      <c r="J132" t="s">
        <v>144</v>
      </c>
    </row>
    <row r="133" spans="1:10" x14ac:dyDescent="0.3">
      <c r="A133">
        <v>132</v>
      </c>
      <c r="B133" t="s">
        <v>14</v>
      </c>
      <c r="C133" s="1">
        <v>45311</v>
      </c>
      <c r="D133" t="s">
        <v>113</v>
      </c>
      <c r="E133" t="s">
        <v>117</v>
      </c>
      <c r="F133" t="s">
        <v>125</v>
      </c>
      <c r="G133">
        <v>1</v>
      </c>
      <c r="H133">
        <v>3092.04</v>
      </c>
      <c r="I133" s="2">
        <v>3092.04</v>
      </c>
      <c r="J133" t="s">
        <v>145</v>
      </c>
    </row>
    <row r="134" spans="1:10" x14ac:dyDescent="0.3">
      <c r="A134">
        <v>133</v>
      </c>
      <c r="B134" t="s">
        <v>31</v>
      </c>
      <c r="C134" s="1">
        <v>45329</v>
      </c>
      <c r="D134" t="s">
        <v>113</v>
      </c>
      <c r="E134" t="s">
        <v>115</v>
      </c>
      <c r="F134" t="s">
        <v>123</v>
      </c>
      <c r="G134">
        <v>4</v>
      </c>
      <c r="H134">
        <v>1671.15</v>
      </c>
      <c r="I134" s="2">
        <v>6684.6</v>
      </c>
      <c r="J134" t="s">
        <v>143</v>
      </c>
    </row>
    <row r="135" spans="1:10" x14ac:dyDescent="0.3">
      <c r="A135">
        <v>134</v>
      </c>
      <c r="B135" t="s">
        <v>32</v>
      </c>
      <c r="C135" s="1">
        <v>45452</v>
      </c>
      <c r="D135" t="s">
        <v>112</v>
      </c>
      <c r="E135" t="s">
        <v>116</v>
      </c>
      <c r="F135" t="s">
        <v>126</v>
      </c>
      <c r="G135">
        <v>5</v>
      </c>
      <c r="H135">
        <v>410.54</v>
      </c>
      <c r="I135" s="2">
        <v>2052.6999999999998</v>
      </c>
      <c r="J135" t="s">
        <v>146</v>
      </c>
    </row>
    <row r="136" spans="1:10" x14ac:dyDescent="0.3">
      <c r="A136">
        <v>135</v>
      </c>
      <c r="B136" t="s">
        <v>85</v>
      </c>
      <c r="C136" s="1">
        <v>45304</v>
      </c>
      <c r="D136" t="s">
        <v>110</v>
      </c>
      <c r="E136" t="s">
        <v>116</v>
      </c>
      <c r="F136" t="s">
        <v>126</v>
      </c>
      <c r="G136">
        <v>1</v>
      </c>
      <c r="H136">
        <v>780.24</v>
      </c>
      <c r="I136" s="2">
        <v>780.24</v>
      </c>
      <c r="J136" t="s">
        <v>146</v>
      </c>
    </row>
    <row r="137" spans="1:10" x14ac:dyDescent="0.3">
      <c r="A137">
        <v>136</v>
      </c>
      <c r="B137" t="s">
        <v>25</v>
      </c>
      <c r="C137" s="1">
        <v>45564</v>
      </c>
      <c r="D137" t="s">
        <v>113</v>
      </c>
      <c r="E137" t="s">
        <v>115</v>
      </c>
      <c r="F137" t="s">
        <v>123</v>
      </c>
      <c r="G137">
        <v>8</v>
      </c>
      <c r="H137">
        <v>3069.9</v>
      </c>
      <c r="I137" s="2">
        <v>24559.200000000001</v>
      </c>
      <c r="J137" t="s">
        <v>143</v>
      </c>
    </row>
    <row r="138" spans="1:10" x14ac:dyDescent="0.3">
      <c r="A138">
        <v>137</v>
      </c>
      <c r="B138" t="s">
        <v>86</v>
      </c>
      <c r="C138" s="1">
        <v>45385</v>
      </c>
      <c r="D138" t="s">
        <v>111</v>
      </c>
      <c r="E138" t="s">
        <v>118</v>
      </c>
      <c r="F138" t="s">
        <v>138</v>
      </c>
      <c r="G138">
        <v>2</v>
      </c>
      <c r="H138">
        <v>709.06</v>
      </c>
      <c r="I138" s="2">
        <v>1418.12</v>
      </c>
      <c r="J138" t="s">
        <v>158</v>
      </c>
    </row>
    <row r="139" spans="1:10" x14ac:dyDescent="0.3">
      <c r="A139">
        <v>138</v>
      </c>
      <c r="B139" t="s">
        <v>14</v>
      </c>
      <c r="C139" s="1">
        <v>45428</v>
      </c>
      <c r="D139" t="s">
        <v>112</v>
      </c>
      <c r="E139" t="s">
        <v>117</v>
      </c>
      <c r="F139" t="s">
        <v>125</v>
      </c>
      <c r="G139">
        <v>3</v>
      </c>
      <c r="H139">
        <v>4639.6000000000004</v>
      </c>
      <c r="I139" s="2">
        <v>13918.8</v>
      </c>
      <c r="J139" t="s">
        <v>145</v>
      </c>
    </row>
    <row r="140" spans="1:10" x14ac:dyDescent="0.3">
      <c r="A140">
        <v>139</v>
      </c>
      <c r="B140" t="s">
        <v>49</v>
      </c>
      <c r="C140" s="1">
        <v>45351</v>
      </c>
      <c r="D140" t="s">
        <v>110</v>
      </c>
      <c r="E140" t="s">
        <v>114</v>
      </c>
      <c r="F140" t="s">
        <v>132</v>
      </c>
      <c r="G140">
        <v>9</v>
      </c>
      <c r="H140">
        <v>3777.46</v>
      </c>
      <c r="I140" s="2">
        <v>33997.14</v>
      </c>
      <c r="J140" t="s">
        <v>152</v>
      </c>
    </row>
    <row r="141" spans="1:10" x14ac:dyDescent="0.3">
      <c r="A141">
        <v>140</v>
      </c>
      <c r="B141" t="s">
        <v>17</v>
      </c>
      <c r="C141" s="1">
        <v>45577</v>
      </c>
      <c r="D141" t="s">
        <v>111</v>
      </c>
      <c r="E141" t="s">
        <v>114</v>
      </c>
      <c r="F141" t="s">
        <v>122</v>
      </c>
      <c r="G141">
        <v>5</v>
      </c>
      <c r="H141">
        <v>1254.8900000000001</v>
      </c>
      <c r="I141" s="2">
        <v>6274.45</v>
      </c>
      <c r="J141" t="s">
        <v>142</v>
      </c>
    </row>
    <row r="142" spans="1:10" x14ac:dyDescent="0.3">
      <c r="A142">
        <v>141</v>
      </c>
      <c r="B142" t="s">
        <v>87</v>
      </c>
      <c r="C142" s="1">
        <v>45353</v>
      </c>
      <c r="D142" t="s">
        <v>110</v>
      </c>
      <c r="E142" t="s">
        <v>118</v>
      </c>
      <c r="F142" t="s">
        <v>138</v>
      </c>
      <c r="G142">
        <v>9</v>
      </c>
      <c r="H142">
        <v>3446.61</v>
      </c>
      <c r="I142" s="2">
        <v>31019.49</v>
      </c>
      <c r="J142" t="s">
        <v>158</v>
      </c>
    </row>
    <row r="143" spans="1:10" x14ac:dyDescent="0.3">
      <c r="A143">
        <v>142</v>
      </c>
      <c r="B143" t="s">
        <v>88</v>
      </c>
      <c r="C143" s="1">
        <v>45586</v>
      </c>
      <c r="D143" t="s">
        <v>110</v>
      </c>
      <c r="E143" t="s">
        <v>115</v>
      </c>
      <c r="F143" t="s">
        <v>130</v>
      </c>
      <c r="G143">
        <v>6</v>
      </c>
      <c r="H143">
        <v>2744.93</v>
      </c>
      <c r="I143" s="2">
        <v>16469.580000000002</v>
      </c>
      <c r="J143" t="s">
        <v>150</v>
      </c>
    </row>
    <row r="144" spans="1:10" x14ac:dyDescent="0.3">
      <c r="A144">
        <v>143</v>
      </c>
      <c r="B144" t="s">
        <v>83</v>
      </c>
      <c r="C144" s="1">
        <v>45434</v>
      </c>
      <c r="D144" t="s">
        <v>113</v>
      </c>
      <c r="E144" t="s">
        <v>118</v>
      </c>
      <c r="F144" t="s">
        <v>138</v>
      </c>
      <c r="G144">
        <v>1</v>
      </c>
      <c r="H144">
        <v>2018.26</v>
      </c>
      <c r="I144" s="2">
        <v>2018.26</v>
      </c>
      <c r="J144" t="s">
        <v>158</v>
      </c>
    </row>
    <row r="145" spans="1:10" x14ac:dyDescent="0.3">
      <c r="A145">
        <v>144</v>
      </c>
      <c r="B145" t="s">
        <v>50</v>
      </c>
      <c r="C145" s="1">
        <v>45395</v>
      </c>
      <c r="D145" t="s">
        <v>110</v>
      </c>
      <c r="E145" t="s">
        <v>115</v>
      </c>
      <c r="F145" t="s">
        <v>123</v>
      </c>
      <c r="G145">
        <v>3</v>
      </c>
      <c r="H145">
        <v>2214.4899999999998</v>
      </c>
      <c r="I145" s="2">
        <v>6643.47</v>
      </c>
      <c r="J145" t="s">
        <v>143</v>
      </c>
    </row>
    <row r="146" spans="1:10" x14ac:dyDescent="0.3">
      <c r="A146">
        <v>145</v>
      </c>
      <c r="B146" t="s">
        <v>75</v>
      </c>
      <c r="C146" s="1">
        <v>45470</v>
      </c>
      <c r="D146" t="s">
        <v>110</v>
      </c>
      <c r="E146" t="s">
        <v>116</v>
      </c>
      <c r="F146" t="s">
        <v>126</v>
      </c>
      <c r="G146">
        <v>4</v>
      </c>
      <c r="H146">
        <v>3990.72</v>
      </c>
      <c r="I146" s="2">
        <v>15962.88</v>
      </c>
      <c r="J146" t="s">
        <v>146</v>
      </c>
    </row>
    <row r="147" spans="1:10" x14ac:dyDescent="0.3">
      <c r="A147">
        <v>146</v>
      </c>
      <c r="B147" t="s">
        <v>46</v>
      </c>
      <c r="C147" s="1">
        <v>45580</v>
      </c>
      <c r="D147" t="s">
        <v>110</v>
      </c>
      <c r="E147" t="s">
        <v>115</v>
      </c>
      <c r="F147" t="s">
        <v>120</v>
      </c>
      <c r="G147">
        <v>6</v>
      </c>
      <c r="H147">
        <v>3786.78</v>
      </c>
      <c r="I147" s="2">
        <v>22720.68</v>
      </c>
      <c r="J147" t="s">
        <v>140</v>
      </c>
    </row>
    <row r="148" spans="1:10" x14ac:dyDescent="0.3">
      <c r="A148">
        <v>147</v>
      </c>
      <c r="B148" t="s">
        <v>89</v>
      </c>
      <c r="C148" s="1">
        <v>45580</v>
      </c>
      <c r="D148" t="s">
        <v>112</v>
      </c>
      <c r="E148" t="s">
        <v>117</v>
      </c>
      <c r="F148" t="s">
        <v>127</v>
      </c>
      <c r="G148">
        <v>2</v>
      </c>
      <c r="H148">
        <v>3836.05</v>
      </c>
      <c r="I148" s="2">
        <v>7672.1</v>
      </c>
      <c r="J148" t="s">
        <v>147</v>
      </c>
    </row>
    <row r="149" spans="1:10" x14ac:dyDescent="0.3">
      <c r="A149">
        <v>148</v>
      </c>
      <c r="B149" t="s">
        <v>27</v>
      </c>
      <c r="C149" s="1">
        <v>45409</v>
      </c>
      <c r="D149" t="s">
        <v>112</v>
      </c>
      <c r="E149" t="s">
        <v>114</v>
      </c>
      <c r="F149" t="s">
        <v>119</v>
      </c>
      <c r="G149">
        <v>4</v>
      </c>
      <c r="H149">
        <v>2339.3000000000002</v>
      </c>
      <c r="I149" s="2">
        <v>9357.2000000000007</v>
      </c>
      <c r="J149" t="s">
        <v>139</v>
      </c>
    </row>
    <row r="150" spans="1:10" x14ac:dyDescent="0.3">
      <c r="A150">
        <v>149</v>
      </c>
      <c r="B150" t="s">
        <v>43</v>
      </c>
      <c r="C150" s="1">
        <v>45475</v>
      </c>
      <c r="D150" t="s">
        <v>111</v>
      </c>
      <c r="E150" t="s">
        <v>114</v>
      </c>
      <c r="F150" t="s">
        <v>132</v>
      </c>
      <c r="G150">
        <v>5</v>
      </c>
      <c r="H150">
        <v>2483.15</v>
      </c>
      <c r="I150" s="2">
        <v>12415.75</v>
      </c>
      <c r="J150" t="s">
        <v>152</v>
      </c>
    </row>
    <row r="151" spans="1:10" x14ac:dyDescent="0.3">
      <c r="A151">
        <v>150</v>
      </c>
      <c r="B151" t="s">
        <v>90</v>
      </c>
      <c r="C151" s="1">
        <v>45464</v>
      </c>
      <c r="D151" t="s">
        <v>112</v>
      </c>
      <c r="E151" t="s">
        <v>115</v>
      </c>
      <c r="F151" t="s">
        <v>123</v>
      </c>
      <c r="G151">
        <v>3</v>
      </c>
      <c r="H151">
        <v>3500.35</v>
      </c>
      <c r="I151" s="2">
        <v>10501.05</v>
      </c>
      <c r="J151" t="s">
        <v>143</v>
      </c>
    </row>
    <row r="152" spans="1:10" x14ac:dyDescent="0.3">
      <c r="A152">
        <v>151</v>
      </c>
      <c r="B152" t="s">
        <v>89</v>
      </c>
      <c r="C152" s="1">
        <v>45573</v>
      </c>
      <c r="D152" t="s">
        <v>111</v>
      </c>
      <c r="E152" t="s">
        <v>115</v>
      </c>
      <c r="F152" t="s">
        <v>130</v>
      </c>
      <c r="G152">
        <v>4</v>
      </c>
      <c r="H152">
        <v>989.83</v>
      </c>
      <c r="I152" s="2">
        <v>3959.32</v>
      </c>
      <c r="J152" t="s">
        <v>150</v>
      </c>
    </row>
    <row r="153" spans="1:10" x14ac:dyDescent="0.3">
      <c r="A153">
        <v>152</v>
      </c>
      <c r="B153" t="s">
        <v>13</v>
      </c>
      <c r="C153" s="1">
        <v>45329</v>
      </c>
      <c r="D153" t="s">
        <v>112</v>
      </c>
      <c r="E153" t="s">
        <v>116</v>
      </c>
      <c r="F153" t="s">
        <v>124</v>
      </c>
      <c r="G153">
        <v>8</v>
      </c>
      <c r="H153">
        <v>2578.85</v>
      </c>
      <c r="I153" s="2">
        <v>20630.8</v>
      </c>
      <c r="J153" t="s">
        <v>144</v>
      </c>
    </row>
    <row r="154" spans="1:10" x14ac:dyDescent="0.3">
      <c r="A154">
        <v>153</v>
      </c>
      <c r="B154" t="s">
        <v>67</v>
      </c>
      <c r="C154" s="1">
        <v>45402</v>
      </c>
      <c r="D154" t="s">
        <v>110</v>
      </c>
      <c r="E154" t="s">
        <v>117</v>
      </c>
      <c r="F154" t="s">
        <v>125</v>
      </c>
      <c r="G154">
        <v>4</v>
      </c>
      <c r="H154">
        <v>4601.88</v>
      </c>
      <c r="I154" s="2">
        <v>18407.52</v>
      </c>
      <c r="J154" t="s">
        <v>145</v>
      </c>
    </row>
    <row r="155" spans="1:10" x14ac:dyDescent="0.3">
      <c r="A155">
        <v>154</v>
      </c>
      <c r="B155" t="s">
        <v>75</v>
      </c>
      <c r="C155" s="1">
        <v>45584</v>
      </c>
      <c r="D155" t="s">
        <v>110</v>
      </c>
      <c r="E155" t="s">
        <v>116</v>
      </c>
      <c r="F155" t="s">
        <v>131</v>
      </c>
      <c r="G155">
        <v>9</v>
      </c>
      <c r="H155">
        <v>2178.2399999999998</v>
      </c>
      <c r="I155" s="2">
        <v>19604.16</v>
      </c>
      <c r="J155" t="s">
        <v>151</v>
      </c>
    </row>
    <row r="156" spans="1:10" x14ac:dyDescent="0.3">
      <c r="A156">
        <v>155</v>
      </c>
      <c r="B156" t="s">
        <v>64</v>
      </c>
      <c r="C156" s="1">
        <v>45587</v>
      </c>
      <c r="D156" t="s">
        <v>113</v>
      </c>
      <c r="E156" t="s">
        <v>115</v>
      </c>
      <c r="F156" t="s">
        <v>123</v>
      </c>
      <c r="G156">
        <v>1</v>
      </c>
      <c r="H156">
        <v>654.87</v>
      </c>
      <c r="I156" s="2">
        <v>654.87</v>
      </c>
      <c r="J156" t="s">
        <v>143</v>
      </c>
    </row>
    <row r="157" spans="1:10" x14ac:dyDescent="0.3">
      <c r="A157">
        <v>156</v>
      </c>
      <c r="B157" t="s">
        <v>91</v>
      </c>
      <c r="C157" s="1">
        <v>45401</v>
      </c>
      <c r="D157" t="s">
        <v>110</v>
      </c>
      <c r="E157" t="s">
        <v>118</v>
      </c>
      <c r="F157" t="s">
        <v>138</v>
      </c>
      <c r="G157">
        <v>6</v>
      </c>
      <c r="H157">
        <v>2642.31</v>
      </c>
      <c r="I157" s="2">
        <v>15853.86</v>
      </c>
      <c r="J157" t="s">
        <v>158</v>
      </c>
    </row>
    <row r="158" spans="1:10" x14ac:dyDescent="0.3">
      <c r="A158">
        <v>157</v>
      </c>
      <c r="B158" t="s">
        <v>73</v>
      </c>
      <c r="C158" s="1">
        <v>45440</v>
      </c>
      <c r="D158" t="s">
        <v>111</v>
      </c>
      <c r="E158" t="s">
        <v>118</v>
      </c>
      <c r="F158" t="s">
        <v>138</v>
      </c>
      <c r="G158">
        <v>9</v>
      </c>
      <c r="H158">
        <v>1107.3399999999999</v>
      </c>
      <c r="I158" s="2">
        <v>9966.06</v>
      </c>
      <c r="J158" t="s">
        <v>158</v>
      </c>
    </row>
    <row r="159" spans="1:10" x14ac:dyDescent="0.3">
      <c r="A159">
        <v>158</v>
      </c>
      <c r="B159" t="s">
        <v>86</v>
      </c>
      <c r="C159" s="1">
        <v>45408</v>
      </c>
      <c r="D159" t="s">
        <v>112</v>
      </c>
      <c r="E159" t="s">
        <v>118</v>
      </c>
      <c r="F159" t="s">
        <v>134</v>
      </c>
      <c r="G159">
        <v>4</v>
      </c>
      <c r="H159">
        <v>2733.24</v>
      </c>
      <c r="I159" s="2">
        <v>10932.96</v>
      </c>
      <c r="J159" t="s">
        <v>154</v>
      </c>
    </row>
    <row r="160" spans="1:10" x14ac:dyDescent="0.3">
      <c r="A160">
        <v>159</v>
      </c>
      <c r="B160" t="s">
        <v>28</v>
      </c>
      <c r="C160" s="1">
        <v>45585</v>
      </c>
      <c r="D160" t="s">
        <v>112</v>
      </c>
      <c r="E160" t="s">
        <v>116</v>
      </c>
      <c r="F160" t="s">
        <v>136</v>
      </c>
      <c r="G160">
        <v>2</v>
      </c>
      <c r="H160">
        <v>4600.43</v>
      </c>
      <c r="I160" s="2">
        <v>9200.86</v>
      </c>
      <c r="J160" t="s">
        <v>156</v>
      </c>
    </row>
    <row r="161" spans="1:10" x14ac:dyDescent="0.3">
      <c r="A161">
        <v>160</v>
      </c>
      <c r="B161" t="s">
        <v>22</v>
      </c>
      <c r="C161" s="1">
        <v>45542</v>
      </c>
      <c r="D161" t="s">
        <v>111</v>
      </c>
      <c r="E161" t="s">
        <v>118</v>
      </c>
      <c r="F161" t="s">
        <v>134</v>
      </c>
      <c r="G161">
        <v>4</v>
      </c>
      <c r="H161">
        <v>2152.73</v>
      </c>
      <c r="I161" s="2">
        <v>8610.92</v>
      </c>
      <c r="J161" t="s">
        <v>154</v>
      </c>
    </row>
    <row r="162" spans="1:10" x14ac:dyDescent="0.3">
      <c r="A162">
        <v>161</v>
      </c>
      <c r="B162" t="s">
        <v>72</v>
      </c>
      <c r="C162" s="1">
        <v>45452</v>
      </c>
      <c r="D162" t="s">
        <v>113</v>
      </c>
      <c r="E162" t="s">
        <v>114</v>
      </c>
      <c r="F162" t="s">
        <v>119</v>
      </c>
      <c r="G162">
        <v>6</v>
      </c>
      <c r="H162">
        <v>1178.48</v>
      </c>
      <c r="I162" s="2">
        <v>7070.88</v>
      </c>
      <c r="J162" t="s">
        <v>139</v>
      </c>
    </row>
    <row r="163" spans="1:10" x14ac:dyDescent="0.3">
      <c r="A163">
        <v>162</v>
      </c>
      <c r="B163" t="s">
        <v>29</v>
      </c>
      <c r="C163" s="1">
        <v>45340</v>
      </c>
      <c r="D163" t="s">
        <v>111</v>
      </c>
      <c r="E163" t="s">
        <v>118</v>
      </c>
      <c r="F163" t="s">
        <v>129</v>
      </c>
      <c r="G163">
        <v>9</v>
      </c>
      <c r="H163">
        <v>828.45</v>
      </c>
      <c r="I163" s="2">
        <v>7456.05</v>
      </c>
      <c r="J163" t="s">
        <v>149</v>
      </c>
    </row>
    <row r="164" spans="1:10" x14ac:dyDescent="0.3">
      <c r="A164">
        <v>163</v>
      </c>
      <c r="B164" t="s">
        <v>61</v>
      </c>
      <c r="C164" s="1">
        <v>45354</v>
      </c>
      <c r="D164" t="s">
        <v>113</v>
      </c>
      <c r="E164" t="s">
        <v>118</v>
      </c>
      <c r="F164" t="s">
        <v>134</v>
      </c>
      <c r="G164">
        <v>1</v>
      </c>
      <c r="H164">
        <v>1618.69</v>
      </c>
      <c r="I164" s="2">
        <v>1618.69</v>
      </c>
      <c r="J164" t="s">
        <v>154</v>
      </c>
    </row>
    <row r="165" spans="1:10" x14ac:dyDescent="0.3">
      <c r="A165">
        <v>164</v>
      </c>
      <c r="B165" t="s">
        <v>57</v>
      </c>
      <c r="C165" s="1">
        <v>45506</v>
      </c>
      <c r="D165" t="s">
        <v>111</v>
      </c>
      <c r="E165" t="s">
        <v>115</v>
      </c>
      <c r="F165" t="s">
        <v>120</v>
      </c>
      <c r="G165">
        <v>3</v>
      </c>
      <c r="H165">
        <v>1812</v>
      </c>
      <c r="I165" s="2">
        <v>5436</v>
      </c>
      <c r="J165" t="s">
        <v>140</v>
      </c>
    </row>
    <row r="166" spans="1:10" x14ac:dyDescent="0.3">
      <c r="A166">
        <v>165</v>
      </c>
      <c r="B166" t="s">
        <v>58</v>
      </c>
      <c r="C166" s="1">
        <v>45576</v>
      </c>
      <c r="D166" t="s">
        <v>113</v>
      </c>
      <c r="E166" t="s">
        <v>114</v>
      </c>
      <c r="F166" t="s">
        <v>122</v>
      </c>
      <c r="G166">
        <v>8</v>
      </c>
      <c r="H166">
        <v>2978.52</v>
      </c>
      <c r="I166" s="2">
        <v>23828.16</v>
      </c>
      <c r="J166" t="s">
        <v>142</v>
      </c>
    </row>
    <row r="167" spans="1:10" x14ac:dyDescent="0.3">
      <c r="A167">
        <v>166</v>
      </c>
      <c r="B167" t="s">
        <v>61</v>
      </c>
      <c r="C167" s="1">
        <v>45369</v>
      </c>
      <c r="D167" t="s">
        <v>111</v>
      </c>
      <c r="E167" t="s">
        <v>116</v>
      </c>
      <c r="F167" t="s">
        <v>124</v>
      </c>
      <c r="G167">
        <v>6</v>
      </c>
      <c r="H167">
        <v>2259.7399999999998</v>
      </c>
      <c r="I167" s="2">
        <v>13558.44</v>
      </c>
      <c r="J167" t="s">
        <v>144</v>
      </c>
    </row>
    <row r="168" spans="1:10" x14ac:dyDescent="0.3">
      <c r="A168">
        <v>167</v>
      </c>
      <c r="B168" t="s">
        <v>31</v>
      </c>
      <c r="C168" s="1">
        <v>45457</v>
      </c>
      <c r="D168" t="s">
        <v>111</v>
      </c>
      <c r="E168" t="s">
        <v>117</v>
      </c>
      <c r="F168" t="s">
        <v>128</v>
      </c>
      <c r="G168">
        <v>8</v>
      </c>
      <c r="H168">
        <v>4322.75</v>
      </c>
      <c r="I168" s="2">
        <v>34582</v>
      </c>
      <c r="J168" t="s">
        <v>148</v>
      </c>
    </row>
    <row r="169" spans="1:10" x14ac:dyDescent="0.3">
      <c r="A169">
        <v>168</v>
      </c>
      <c r="B169" t="s">
        <v>34</v>
      </c>
      <c r="C169" s="1">
        <v>45579</v>
      </c>
      <c r="D169" t="s">
        <v>112</v>
      </c>
      <c r="E169" t="s">
        <v>116</v>
      </c>
      <c r="F169" t="s">
        <v>136</v>
      </c>
      <c r="G169">
        <v>2</v>
      </c>
      <c r="H169">
        <v>2102.8000000000002</v>
      </c>
      <c r="I169" s="2">
        <v>4205.6000000000004</v>
      </c>
      <c r="J169" t="s">
        <v>156</v>
      </c>
    </row>
    <row r="170" spans="1:10" x14ac:dyDescent="0.3">
      <c r="A170">
        <v>169</v>
      </c>
      <c r="B170" t="s">
        <v>50</v>
      </c>
      <c r="C170" s="1">
        <v>45346</v>
      </c>
      <c r="D170" t="s">
        <v>110</v>
      </c>
      <c r="E170" t="s">
        <v>116</v>
      </c>
      <c r="F170" t="s">
        <v>136</v>
      </c>
      <c r="G170">
        <v>8</v>
      </c>
      <c r="H170">
        <v>232.77</v>
      </c>
      <c r="I170" s="2">
        <v>1862.16</v>
      </c>
      <c r="J170" t="s">
        <v>156</v>
      </c>
    </row>
    <row r="171" spans="1:10" x14ac:dyDescent="0.3">
      <c r="A171">
        <v>170</v>
      </c>
      <c r="B171" t="s">
        <v>84</v>
      </c>
      <c r="C171" s="1">
        <v>45546</v>
      </c>
      <c r="D171" t="s">
        <v>113</v>
      </c>
      <c r="E171" t="s">
        <v>118</v>
      </c>
      <c r="F171" t="s">
        <v>134</v>
      </c>
      <c r="G171">
        <v>5</v>
      </c>
      <c r="H171">
        <v>974.87</v>
      </c>
      <c r="I171" s="2">
        <v>4874.3500000000004</v>
      </c>
      <c r="J171" t="s">
        <v>154</v>
      </c>
    </row>
    <row r="172" spans="1:10" x14ac:dyDescent="0.3">
      <c r="A172">
        <v>171</v>
      </c>
      <c r="B172" t="s">
        <v>51</v>
      </c>
      <c r="C172" s="1">
        <v>45383</v>
      </c>
      <c r="D172" t="s">
        <v>111</v>
      </c>
      <c r="E172" t="s">
        <v>116</v>
      </c>
      <c r="F172" t="s">
        <v>136</v>
      </c>
      <c r="G172">
        <v>8</v>
      </c>
      <c r="H172">
        <v>3639.11</v>
      </c>
      <c r="I172" s="2">
        <v>29112.880000000001</v>
      </c>
      <c r="J172" t="s">
        <v>156</v>
      </c>
    </row>
    <row r="173" spans="1:10" x14ac:dyDescent="0.3">
      <c r="A173">
        <v>172</v>
      </c>
      <c r="B173" t="s">
        <v>63</v>
      </c>
      <c r="C173" s="1">
        <v>45456</v>
      </c>
      <c r="D173" t="s">
        <v>112</v>
      </c>
      <c r="E173" t="s">
        <v>114</v>
      </c>
      <c r="F173" t="s">
        <v>121</v>
      </c>
      <c r="G173">
        <v>7</v>
      </c>
      <c r="H173">
        <v>4492.05</v>
      </c>
      <c r="I173" s="2">
        <v>31444.35</v>
      </c>
      <c r="J173" t="s">
        <v>141</v>
      </c>
    </row>
    <row r="174" spans="1:10" x14ac:dyDescent="0.3">
      <c r="A174">
        <v>173</v>
      </c>
      <c r="B174" t="s">
        <v>49</v>
      </c>
      <c r="C174" s="1">
        <v>45554</v>
      </c>
      <c r="D174" t="s">
        <v>113</v>
      </c>
      <c r="E174" t="s">
        <v>114</v>
      </c>
      <c r="F174" t="s">
        <v>119</v>
      </c>
      <c r="G174">
        <v>3</v>
      </c>
      <c r="H174">
        <v>2956.9</v>
      </c>
      <c r="I174" s="2">
        <v>8870.7000000000007</v>
      </c>
      <c r="J174" t="s">
        <v>139</v>
      </c>
    </row>
    <row r="175" spans="1:10" x14ac:dyDescent="0.3">
      <c r="A175">
        <v>174</v>
      </c>
      <c r="B175" t="s">
        <v>16</v>
      </c>
      <c r="C175" s="1">
        <v>45373</v>
      </c>
      <c r="D175" t="s">
        <v>112</v>
      </c>
      <c r="E175" t="s">
        <v>118</v>
      </c>
      <c r="F175" t="s">
        <v>134</v>
      </c>
      <c r="G175">
        <v>5</v>
      </c>
      <c r="H175">
        <v>1774.91</v>
      </c>
      <c r="I175" s="2">
        <v>8874.5499999999993</v>
      </c>
      <c r="J175" t="s">
        <v>154</v>
      </c>
    </row>
    <row r="176" spans="1:10" x14ac:dyDescent="0.3">
      <c r="A176">
        <v>175</v>
      </c>
      <c r="B176" t="s">
        <v>61</v>
      </c>
      <c r="C176" s="1">
        <v>45486</v>
      </c>
      <c r="D176" t="s">
        <v>111</v>
      </c>
      <c r="E176" t="s">
        <v>117</v>
      </c>
      <c r="F176" t="s">
        <v>133</v>
      </c>
      <c r="G176">
        <v>5</v>
      </c>
      <c r="H176">
        <v>1791.44</v>
      </c>
      <c r="I176" s="2">
        <v>8957.2000000000007</v>
      </c>
      <c r="J176" t="s">
        <v>153</v>
      </c>
    </row>
    <row r="177" spans="1:10" x14ac:dyDescent="0.3">
      <c r="A177">
        <v>176</v>
      </c>
      <c r="B177" t="s">
        <v>11</v>
      </c>
      <c r="C177" s="1">
        <v>45517</v>
      </c>
      <c r="D177" t="s">
        <v>113</v>
      </c>
      <c r="E177" t="s">
        <v>117</v>
      </c>
      <c r="F177" t="s">
        <v>125</v>
      </c>
      <c r="G177">
        <v>4</v>
      </c>
      <c r="H177">
        <v>4875.28</v>
      </c>
      <c r="I177" s="2">
        <v>19501.12</v>
      </c>
      <c r="J177" t="s">
        <v>145</v>
      </c>
    </row>
    <row r="178" spans="1:10" x14ac:dyDescent="0.3">
      <c r="A178">
        <v>177</v>
      </c>
      <c r="B178" t="s">
        <v>79</v>
      </c>
      <c r="C178" s="1">
        <v>45372</v>
      </c>
      <c r="D178" t="s">
        <v>112</v>
      </c>
      <c r="E178" t="s">
        <v>115</v>
      </c>
      <c r="F178" t="s">
        <v>135</v>
      </c>
      <c r="G178">
        <v>7</v>
      </c>
      <c r="H178">
        <v>4019.29</v>
      </c>
      <c r="I178" s="2">
        <v>28135.03</v>
      </c>
      <c r="J178" t="s">
        <v>155</v>
      </c>
    </row>
    <row r="179" spans="1:10" x14ac:dyDescent="0.3">
      <c r="A179">
        <v>178</v>
      </c>
      <c r="B179" t="s">
        <v>85</v>
      </c>
      <c r="C179" s="1">
        <v>45406</v>
      </c>
      <c r="D179" t="s">
        <v>113</v>
      </c>
      <c r="E179" t="s">
        <v>118</v>
      </c>
      <c r="F179" t="s">
        <v>129</v>
      </c>
      <c r="G179">
        <v>2</v>
      </c>
      <c r="H179">
        <v>3204.04</v>
      </c>
      <c r="I179" s="2">
        <v>6408.08</v>
      </c>
      <c r="J179" t="s">
        <v>149</v>
      </c>
    </row>
    <row r="180" spans="1:10" x14ac:dyDescent="0.3">
      <c r="A180">
        <v>179</v>
      </c>
      <c r="B180" t="s">
        <v>75</v>
      </c>
      <c r="C180" s="1">
        <v>45537</v>
      </c>
      <c r="D180" t="s">
        <v>112</v>
      </c>
      <c r="E180" t="s">
        <v>115</v>
      </c>
      <c r="F180" t="s">
        <v>135</v>
      </c>
      <c r="G180">
        <v>4</v>
      </c>
      <c r="H180">
        <v>748.15</v>
      </c>
      <c r="I180" s="2">
        <v>2992.6</v>
      </c>
      <c r="J180" t="s">
        <v>155</v>
      </c>
    </row>
    <row r="181" spans="1:10" x14ac:dyDescent="0.3">
      <c r="A181">
        <v>180</v>
      </c>
      <c r="B181" t="s">
        <v>72</v>
      </c>
      <c r="C181" s="1">
        <v>45400</v>
      </c>
      <c r="D181" t="s">
        <v>112</v>
      </c>
      <c r="E181" t="s">
        <v>114</v>
      </c>
      <c r="F181" t="s">
        <v>119</v>
      </c>
      <c r="G181">
        <v>6</v>
      </c>
      <c r="H181">
        <v>4580.0600000000004</v>
      </c>
      <c r="I181" s="2">
        <v>27480.36</v>
      </c>
      <c r="J181" t="s">
        <v>139</v>
      </c>
    </row>
    <row r="182" spans="1:10" x14ac:dyDescent="0.3">
      <c r="A182">
        <v>181</v>
      </c>
      <c r="B182" t="s">
        <v>71</v>
      </c>
      <c r="C182" s="1">
        <v>45333</v>
      </c>
      <c r="D182" t="s">
        <v>110</v>
      </c>
      <c r="E182" t="s">
        <v>118</v>
      </c>
      <c r="F182" t="s">
        <v>137</v>
      </c>
      <c r="G182">
        <v>2</v>
      </c>
      <c r="H182">
        <v>2815.47</v>
      </c>
      <c r="I182" s="2">
        <v>5630.94</v>
      </c>
      <c r="J182" t="s">
        <v>157</v>
      </c>
    </row>
    <row r="183" spans="1:10" x14ac:dyDescent="0.3">
      <c r="A183">
        <v>182</v>
      </c>
      <c r="B183" t="s">
        <v>73</v>
      </c>
      <c r="C183" s="1">
        <v>45367</v>
      </c>
      <c r="D183" t="s">
        <v>111</v>
      </c>
      <c r="E183" t="s">
        <v>114</v>
      </c>
      <c r="F183" t="s">
        <v>121</v>
      </c>
      <c r="G183">
        <v>6</v>
      </c>
      <c r="H183">
        <v>770.74</v>
      </c>
      <c r="I183" s="2">
        <v>4624.4399999999996</v>
      </c>
      <c r="J183" t="s">
        <v>141</v>
      </c>
    </row>
    <row r="184" spans="1:10" x14ac:dyDescent="0.3">
      <c r="A184">
        <v>183</v>
      </c>
      <c r="B184" t="s">
        <v>55</v>
      </c>
      <c r="C184" s="1">
        <v>45578</v>
      </c>
      <c r="D184" t="s">
        <v>112</v>
      </c>
      <c r="E184" t="s">
        <v>115</v>
      </c>
      <c r="F184" t="s">
        <v>120</v>
      </c>
      <c r="G184">
        <v>2</v>
      </c>
      <c r="H184">
        <v>3042.53</v>
      </c>
      <c r="I184" s="2">
        <v>6085.06</v>
      </c>
      <c r="J184" t="s">
        <v>140</v>
      </c>
    </row>
    <row r="185" spans="1:10" x14ac:dyDescent="0.3">
      <c r="A185">
        <v>184</v>
      </c>
      <c r="B185" t="s">
        <v>92</v>
      </c>
      <c r="C185" s="1">
        <v>45464</v>
      </c>
      <c r="D185" t="s">
        <v>113</v>
      </c>
      <c r="E185" t="s">
        <v>116</v>
      </c>
      <c r="F185" t="s">
        <v>131</v>
      </c>
      <c r="G185">
        <v>2</v>
      </c>
      <c r="H185">
        <v>914.79</v>
      </c>
      <c r="I185" s="2">
        <v>1829.58</v>
      </c>
      <c r="J185" t="s">
        <v>151</v>
      </c>
    </row>
    <row r="186" spans="1:10" x14ac:dyDescent="0.3">
      <c r="A186">
        <v>185</v>
      </c>
      <c r="B186" t="s">
        <v>93</v>
      </c>
      <c r="C186" s="1">
        <v>45472</v>
      </c>
      <c r="D186" t="s">
        <v>110</v>
      </c>
      <c r="E186" t="s">
        <v>115</v>
      </c>
      <c r="F186" t="s">
        <v>135</v>
      </c>
      <c r="G186">
        <v>5</v>
      </c>
      <c r="H186">
        <v>4201.6899999999996</v>
      </c>
      <c r="I186" s="2">
        <v>21008.45</v>
      </c>
      <c r="J186" t="s">
        <v>155</v>
      </c>
    </row>
    <row r="187" spans="1:10" x14ac:dyDescent="0.3">
      <c r="A187">
        <v>186</v>
      </c>
      <c r="B187" t="s">
        <v>54</v>
      </c>
      <c r="C187" s="1">
        <v>45455</v>
      </c>
      <c r="D187" t="s">
        <v>113</v>
      </c>
      <c r="E187" t="s">
        <v>115</v>
      </c>
      <c r="F187" t="s">
        <v>123</v>
      </c>
      <c r="G187">
        <v>8</v>
      </c>
      <c r="H187">
        <v>2875.38</v>
      </c>
      <c r="I187" s="2">
        <v>23003.040000000001</v>
      </c>
      <c r="J187" t="s">
        <v>143</v>
      </c>
    </row>
    <row r="188" spans="1:10" x14ac:dyDescent="0.3">
      <c r="A188">
        <v>187</v>
      </c>
      <c r="B188" t="s">
        <v>53</v>
      </c>
      <c r="C188" s="1">
        <v>45346</v>
      </c>
      <c r="D188" t="s">
        <v>111</v>
      </c>
      <c r="E188" t="s">
        <v>114</v>
      </c>
      <c r="F188" t="s">
        <v>132</v>
      </c>
      <c r="G188">
        <v>1</v>
      </c>
      <c r="H188">
        <v>1422.56</v>
      </c>
      <c r="I188" s="2">
        <v>1422.56</v>
      </c>
      <c r="J188" t="s">
        <v>152</v>
      </c>
    </row>
    <row r="189" spans="1:10" x14ac:dyDescent="0.3">
      <c r="A189">
        <v>188</v>
      </c>
      <c r="B189" t="s">
        <v>83</v>
      </c>
      <c r="C189" s="1">
        <v>45518</v>
      </c>
      <c r="D189" t="s">
        <v>110</v>
      </c>
      <c r="E189" t="s">
        <v>115</v>
      </c>
      <c r="F189" t="s">
        <v>130</v>
      </c>
      <c r="G189">
        <v>2</v>
      </c>
      <c r="H189">
        <v>3154.33</v>
      </c>
      <c r="I189" s="2">
        <v>6308.66</v>
      </c>
      <c r="J189" t="s">
        <v>150</v>
      </c>
    </row>
    <row r="190" spans="1:10" x14ac:dyDescent="0.3">
      <c r="A190">
        <v>189</v>
      </c>
      <c r="B190" t="s">
        <v>94</v>
      </c>
      <c r="C190" s="1">
        <v>45364</v>
      </c>
      <c r="D190" t="s">
        <v>113</v>
      </c>
      <c r="E190" t="s">
        <v>118</v>
      </c>
      <c r="F190" t="s">
        <v>138</v>
      </c>
      <c r="G190">
        <v>9</v>
      </c>
      <c r="H190">
        <v>3554.14</v>
      </c>
      <c r="I190" s="2">
        <v>31987.26</v>
      </c>
      <c r="J190" t="s">
        <v>158</v>
      </c>
    </row>
    <row r="191" spans="1:10" x14ac:dyDescent="0.3">
      <c r="A191">
        <v>190</v>
      </c>
      <c r="B191" t="s">
        <v>32</v>
      </c>
      <c r="C191" s="1">
        <v>45316</v>
      </c>
      <c r="D191" t="s">
        <v>111</v>
      </c>
      <c r="E191" t="s">
        <v>115</v>
      </c>
      <c r="F191" t="s">
        <v>123</v>
      </c>
      <c r="G191">
        <v>2</v>
      </c>
      <c r="H191">
        <v>4017.14</v>
      </c>
      <c r="I191" s="2">
        <v>8034.28</v>
      </c>
      <c r="J191" t="s">
        <v>143</v>
      </c>
    </row>
    <row r="192" spans="1:10" x14ac:dyDescent="0.3">
      <c r="A192">
        <v>191</v>
      </c>
      <c r="B192" t="s">
        <v>95</v>
      </c>
      <c r="C192" s="1">
        <v>45393</v>
      </c>
      <c r="D192" t="s">
        <v>112</v>
      </c>
      <c r="E192" t="s">
        <v>117</v>
      </c>
      <c r="F192" t="s">
        <v>125</v>
      </c>
      <c r="G192">
        <v>5</v>
      </c>
      <c r="H192">
        <v>548.75</v>
      </c>
      <c r="I192" s="2">
        <v>2743.75</v>
      </c>
      <c r="J192" t="s">
        <v>145</v>
      </c>
    </row>
    <row r="193" spans="1:10" x14ac:dyDescent="0.3">
      <c r="A193">
        <v>192</v>
      </c>
      <c r="B193" t="s">
        <v>20</v>
      </c>
      <c r="C193" s="1">
        <v>45308</v>
      </c>
      <c r="D193" t="s">
        <v>112</v>
      </c>
      <c r="E193" t="s">
        <v>118</v>
      </c>
      <c r="F193" t="s">
        <v>134</v>
      </c>
      <c r="G193">
        <v>1</v>
      </c>
      <c r="H193">
        <v>1007.15</v>
      </c>
      <c r="I193" s="2">
        <v>1007.15</v>
      </c>
      <c r="J193" t="s">
        <v>154</v>
      </c>
    </row>
    <row r="194" spans="1:10" x14ac:dyDescent="0.3">
      <c r="A194">
        <v>193</v>
      </c>
      <c r="B194" t="s">
        <v>96</v>
      </c>
      <c r="C194" s="1">
        <v>45371</v>
      </c>
      <c r="D194" t="s">
        <v>110</v>
      </c>
      <c r="E194" t="s">
        <v>115</v>
      </c>
      <c r="F194" t="s">
        <v>120</v>
      </c>
      <c r="G194">
        <v>5</v>
      </c>
      <c r="H194">
        <v>3819.28</v>
      </c>
      <c r="I194" s="2">
        <v>19096.400000000001</v>
      </c>
      <c r="J194" t="s">
        <v>140</v>
      </c>
    </row>
    <row r="195" spans="1:10" x14ac:dyDescent="0.3">
      <c r="A195">
        <v>194</v>
      </c>
      <c r="B195" t="s">
        <v>45</v>
      </c>
      <c r="C195" s="1">
        <v>45489</v>
      </c>
      <c r="D195" t="s">
        <v>110</v>
      </c>
      <c r="E195" t="s">
        <v>118</v>
      </c>
      <c r="F195" t="s">
        <v>137</v>
      </c>
      <c r="G195">
        <v>9</v>
      </c>
      <c r="H195">
        <v>3268.66</v>
      </c>
      <c r="I195" s="2">
        <v>29417.94</v>
      </c>
      <c r="J195" t="s">
        <v>157</v>
      </c>
    </row>
    <row r="196" spans="1:10" x14ac:dyDescent="0.3">
      <c r="A196">
        <v>195</v>
      </c>
      <c r="B196" t="s">
        <v>59</v>
      </c>
      <c r="C196" s="1">
        <v>45317</v>
      </c>
      <c r="D196" t="s">
        <v>111</v>
      </c>
      <c r="E196" t="s">
        <v>116</v>
      </c>
      <c r="F196" t="s">
        <v>126</v>
      </c>
      <c r="G196">
        <v>7</v>
      </c>
      <c r="H196">
        <v>4996.83</v>
      </c>
      <c r="I196" s="2">
        <v>34977.81</v>
      </c>
      <c r="J196" t="s">
        <v>146</v>
      </c>
    </row>
    <row r="197" spans="1:10" x14ac:dyDescent="0.3">
      <c r="A197">
        <v>196</v>
      </c>
      <c r="B197" t="s">
        <v>87</v>
      </c>
      <c r="C197" s="1">
        <v>45377</v>
      </c>
      <c r="D197" t="s">
        <v>112</v>
      </c>
      <c r="E197" t="s">
        <v>114</v>
      </c>
      <c r="F197" t="s">
        <v>119</v>
      </c>
      <c r="G197">
        <v>9</v>
      </c>
      <c r="H197">
        <v>1043.74</v>
      </c>
      <c r="I197" s="2">
        <v>9393.66</v>
      </c>
      <c r="J197" t="s">
        <v>139</v>
      </c>
    </row>
    <row r="198" spans="1:10" x14ac:dyDescent="0.3">
      <c r="A198">
        <v>197</v>
      </c>
      <c r="B198" t="s">
        <v>15</v>
      </c>
      <c r="C198" s="1">
        <v>45506</v>
      </c>
      <c r="D198" t="s">
        <v>113</v>
      </c>
      <c r="E198" t="s">
        <v>116</v>
      </c>
      <c r="F198" t="s">
        <v>136</v>
      </c>
      <c r="G198">
        <v>4</v>
      </c>
      <c r="H198">
        <v>4238.29</v>
      </c>
      <c r="I198" s="2">
        <v>16953.16</v>
      </c>
      <c r="J198" t="s">
        <v>156</v>
      </c>
    </row>
    <row r="199" spans="1:10" x14ac:dyDescent="0.3">
      <c r="A199">
        <v>198</v>
      </c>
      <c r="B199" t="s">
        <v>28</v>
      </c>
      <c r="C199" s="1">
        <v>45394</v>
      </c>
      <c r="D199" t="s">
        <v>113</v>
      </c>
      <c r="E199" t="s">
        <v>115</v>
      </c>
      <c r="F199" t="s">
        <v>120</v>
      </c>
      <c r="G199">
        <v>2</v>
      </c>
      <c r="H199">
        <v>4436.49</v>
      </c>
      <c r="I199" s="2">
        <v>8872.98</v>
      </c>
      <c r="J199" t="s">
        <v>140</v>
      </c>
    </row>
    <row r="200" spans="1:10" x14ac:dyDescent="0.3">
      <c r="A200">
        <v>199</v>
      </c>
      <c r="B200" t="s">
        <v>97</v>
      </c>
      <c r="C200" s="1">
        <v>45474</v>
      </c>
      <c r="D200" t="s">
        <v>111</v>
      </c>
      <c r="E200" t="s">
        <v>117</v>
      </c>
      <c r="F200" t="s">
        <v>125</v>
      </c>
      <c r="G200">
        <v>8</v>
      </c>
      <c r="H200">
        <v>2743.51</v>
      </c>
      <c r="I200" s="2">
        <v>21948.080000000002</v>
      </c>
      <c r="J200" t="s">
        <v>145</v>
      </c>
    </row>
    <row r="201" spans="1:10" x14ac:dyDescent="0.3">
      <c r="A201">
        <v>200</v>
      </c>
      <c r="B201" t="s">
        <v>94</v>
      </c>
      <c r="C201" s="1">
        <v>45501</v>
      </c>
      <c r="D201" t="s">
        <v>113</v>
      </c>
      <c r="E201" t="s">
        <v>114</v>
      </c>
      <c r="F201" t="s">
        <v>121</v>
      </c>
      <c r="G201">
        <v>2</v>
      </c>
      <c r="H201">
        <v>219.56</v>
      </c>
      <c r="I201" s="2">
        <v>439.12</v>
      </c>
      <c r="J201" t="s">
        <v>141</v>
      </c>
    </row>
    <row r="202" spans="1:10" x14ac:dyDescent="0.3">
      <c r="A202">
        <v>201</v>
      </c>
      <c r="B202" t="s">
        <v>40</v>
      </c>
      <c r="C202" s="1">
        <v>45325</v>
      </c>
      <c r="D202" t="s">
        <v>112</v>
      </c>
      <c r="E202" t="s">
        <v>115</v>
      </c>
      <c r="F202" t="s">
        <v>123</v>
      </c>
      <c r="G202">
        <v>2</v>
      </c>
      <c r="H202">
        <v>4701.43</v>
      </c>
      <c r="I202" s="2">
        <v>9402.86</v>
      </c>
      <c r="J202" t="s">
        <v>143</v>
      </c>
    </row>
    <row r="203" spans="1:10" x14ac:dyDescent="0.3">
      <c r="A203">
        <v>202</v>
      </c>
      <c r="B203" t="s">
        <v>73</v>
      </c>
      <c r="C203" s="1">
        <v>45330</v>
      </c>
      <c r="D203" t="s">
        <v>112</v>
      </c>
      <c r="E203" t="s">
        <v>117</v>
      </c>
      <c r="F203" t="s">
        <v>128</v>
      </c>
      <c r="G203">
        <v>1</v>
      </c>
      <c r="H203">
        <v>2069.46</v>
      </c>
      <c r="I203" s="2">
        <v>2069.46</v>
      </c>
      <c r="J203" t="s">
        <v>148</v>
      </c>
    </row>
    <row r="204" spans="1:10" x14ac:dyDescent="0.3">
      <c r="A204">
        <v>203</v>
      </c>
      <c r="B204" t="s">
        <v>71</v>
      </c>
      <c r="C204" s="1">
        <v>45563</v>
      </c>
      <c r="D204" t="s">
        <v>110</v>
      </c>
      <c r="E204" t="s">
        <v>117</v>
      </c>
      <c r="F204" t="s">
        <v>125</v>
      </c>
      <c r="G204">
        <v>9</v>
      </c>
      <c r="H204">
        <v>3864.54</v>
      </c>
      <c r="I204" s="2">
        <v>34780.86</v>
      </c>
      <c r="J204" t="s">
        <v>145</v>
      </c>
    </row>
    <row r="205" spans="1:10" x14ac:dyDescent="0.3">
      <c r="A205">
        <v>204</v>
      </c>
      <c r="B205" t="s">
        <v>43</v>
      </c>
      <c r="C205" s="1">
        <v>45356</v>
      </c>
      <c r="D205" t="s">
        <v>112</v>
      </c>
      <c r="E205" t="s">
        <v>118</v>
      </c>
      <c r="F205" t="s">
        <v>134</v>
      </c>
      <c r="G205">
        <v>8</v>
      </c>
      <c r="H205">
        <v>1507.47</v>
      </c>
      <c r="I205" s="2">
        <v>12059.76</v>
      </c>
      <c r="J205" t="s">
        <v>154</v>
      </c>
    </row>
    <row r="206" spans="1:10" x14ac:dyDescent="0.3">
      <c r="A206">
        <v>205</v>
      </c>
      <c r="B206" t="s">
        <v>98</v>
      </c>
      <c r="C206" s="1">
        <v>45437</v>
      </c>
      <c r="D206" t="s">
        <v>112</v>
      </c>
      <c r="E206" t="s">
        <v>114</v>
      </c>
      <c r="F206" t="s">
        <v>122</v>
      </c>
      <c r="G206">
        <v>1</v>
      </c>
      <c r="H206">
        <v>4560.66</v>
      </c>
      <c r="I206" s="2">
        <v>4560.66</v>
      </c>
      <c r="J206" t="s">
        <v>142</v>
      </c>
    </row>
    <row r="207" spans="1:10" x14ac:dyDescent="0.3">
      <c r="A207">
        <v>206</v>
      </c>
      <c r="B207" t="s">
        <v>45</v>
      </c>
      <c r="C207" s="1">
        <v>45364</v>
      </c>
      <c r="D207" t="s">
        <v>111</v>
      </c>
      <c r="E207" t="s">
        <v>118</v>
      </c>
      <c r="F207" t="s">
        <v>138</v>
      </c>
      <c r="G207">
        <v>8</v>
      </c>
      <c r="H207">
        <v>709.74</v>
      </c>
      <c r="I207" s="2">
        <v>5677.92</v>
      </c>
      <c r="J207" t="s">
        <v>158</v>
      </c>
    </row>
    <row r="208" spans="1:10" x14ac:dyDescent="0.3">
      <c r="A208">
        <v>207</v>
      </c>
      <c r="B208" t="s">
        <v>88</v>
      </c>
      <c r="C208" s="1">
        <v>45584</v>
      </c>
      <c r="D208" t="s">
        <v>113</v>
      </c>
      <c r="E208" t="s">
        <v>114</v>
      </c>
      <c r="F208" t="s">
        <v>119</v>
      </c>
      <c r="G208">
        <v>6</v>
      </c>
      <c r="H208">
        <v>4913.42</v>
      </c>
      <c r="I208" s="2">
        <v>29480.52</v>
      </c>
      <c r="J208" t="s">
        <v>139</v>
      </c>
    </row>
    <row r="209" spans="1:10" x14ac:dyDescent="0.3">
      <c r="A209">
        <v>208</v>
      </c>
      <c r="B209" t="s">
        <v>62</v>
      </c>
      <c r="C209" s="1">
        <v>45302</v>
      </c>
      <c r="D209" t="s">
        <v>112</v>
      </c>
      <c r="E209" t="s">
        <v>114</v>
      </c>
      <c r="F209" t="s">
        <v>121</v>
      </c>
      <c r="G209">
        <v>9</v>
      </c>
      <c r="H209">
        <v>3742.43</v>
      </c>
      <c r="I209" s="2">
        <v>33681.870000000003</v>
      </c>
      <c r="J209" t="s">
        <v>141</v>
      </c>
    </row>
    <row r="210" spans="1:10" x14ac:dyDescent="0.3">
      <c r="A210">
        <v>209</v>
      </c>
      <c r="B210" t="s">
        <v>89</v>
      </c>
      <c r="C210" s="1">
        <v>45350</v>
      </c>
      <c r="D210" t="s">
        <v>110</v>
      </c>
      <c r="E210" t="s">
        <v>117</v>
      </c>
      <c r="F210" t="s">
        <v>128</v>
      </c>
      <c r="G210">
        <v>6</v>
      </c>
      <c r="H210">
        <v>3077.91</v>
      </c>
      <c r="I210" s="2">
        <v>18467.46</v>
      </c>
      <c r="J210" t="s">
        <v>148</v>
      </c>
    </row>
    <row r="211" spans="1:10" x14ac:dyDescent="0.3">
      <c r="A211">
        <v>210</v>
      </c>
      <c r="B211" t="s">
        <v>31</v>
      </c>
      <c r="C211" s="1">
        <v>45398</v>
      </c>
      <c r="D211" t="s">
        <v>112</v>
      </c>
      <c r="E211" t="s">
        <v>118</v>
      </c>
      <c r="F211" t="s">
        <v>137</v>
      </c>
      <c r="G211">
        <v>9</v>
      </c>
      <c r="H211">
        <v>1013.55</v>
      </c>
      <c r="I211" s="2">
        <v>9121.9500000000007</v>
      </c>
      <c r="J211" t="s">
        <v>157</v>
      </c>
    </row>
    <row r="212" spans="1:10" x14ac:dyDescent="0.3">
      <c r="A212">
        <v>211</v>
      </c>
      <c r="B212" t="s">
        <v>40</v>
      </c>
      <c r="C212" s="1">
        <v>45553</v>
      </c>
      <c r="D212" t="s">
        <v>113</v>
      </c>
      <c r="E212" t="s">
        <v>114</v>
      </c>
      <c r="F212" t="s">
        <v>121</v>
      </c>
      <c r="G212">
        <v>7</v>
      </c>
      <c r="H212">
        <v>4430.55</v>
      </c>
      <c r="I212" s="2">
        <v>31013.85</v>
      </c>
      <c r="J212" t="s">
        <v>141</v>
      </c>
    </row>
    <row r="213" spans="1:10" x14ac:dyDescent="0.3">
      <c r="A213">
        <v>212</v>
      </c>
      <c r="B213" t="s">
        <v>20</v>
      </c>
      <c r="C213" s="1">
        <v>45311</v>
      </c>
      <c r="D213" t="s">
        <v>112</v>
      </c>
      <c r="E213" t="s">
        <v>118</v>
      </c>
      <c r="F213" t="s">
        <v>138</v>
      </c>
      <c r="G213">
        <v>3</v>
      </c>
      <c r="H213">
        <v>3815.37</v>
      </c>
      <c r="I213" s="2">
        <v>11446.11</v>
      </c>
      <c r="J213" t="s">
        <v>158</v>
      </c>
    </row>
    <row r="214" spans="1:10" x14ac:dyDescent="0.3">
      <c r="A214">
        <v>213</v>
      </c>
      <c r="B214" t="s">
        <v>13</v>
      </c>
      <c r="C214" s="1">
        <v>45436</v>
      </c>
      <c r="D214" t="s">
        <v>110</v>
      </c>
      <c r="E214" t="s">
        <v>115</v>
      </c>
      <c r="F214" t="s">
        <v>120</v>
      </c>
      <c r="G214">
        <v>3</v>
      </c>
      <c r="H214">
        <v>1199.76</v>
      </c>
      <c r="I214" s="2">
        <v>3599.28</v>
      </c>
      <c r="J214" t="s">
        <v>140</v>
      </c>
    </row>
    <row r="215" spans="1:10" x14ac:dyDescent="0.3">
      <c r="A215">
        <v>214</v>
      </c>
      <c r="B215" t="s">
        <v>60</v>
      </c>
      <c r="C215" s="1">
        <v>45359</v>
      </c>
      <c r="D215" t="s">
        <v>112</v>
      </c>
      <c r="E215" t="s">
        <v>114</v>
      </c>
      <c r="F215" t="s">
        <v>121</v>
      </c>
      <c r="G215">
        <v>9</v>
      </c>
      <c r="H215">
        <v>2016.73</v>
      </c>
      <c r="I215" s="2">
        <v>18150.57</v>
      </c>
      <c r="J215" t="s">
        <v>141</v>
      </c>
    </row>
    <row r="216" spans="1:10" x14ac:dyDescent="0.3">
      <c r="A216">
        <v>215</v>
      </c>
      <c r="B216" t="s">
        <v>68</v>
      </c>
      <c r="C216" s="1">
        <v>45320</v>
      </c>
      <c r="D216" t="s">
        <v>113</v>
      </c>
      <c r="E216" t="s">
        <v>115</v>
      </c>
      <c r="F216" t="s">
        <v>130</v>
      </c>
      <c r="G216">
        <v>2</v>
      </c>
      <c r="H216">
        <v>4324.43</v>
      </c>
      <c r="I216" s="2">
        <v>8648.86</v>
      </c>
      <c r="J216" t="s">
        <v>150</v>
      </c>
    </row>
    <row r="217" spans="1:10" x14ac:dyDescent="0.3">
      <c r="A217">
        <v>216</v>
      </c>
      <c r="B217" t="s">
        <v>98</v>
      </c>
      <c r="C217" s="1">
        <v>45331</v>
      </c>
      <c r="D217" t="s">
        <v>113</v>
      </c>
      <c r="E217" t="s">
        <v>114</v>
      </c>
      <c r="F217" t="s">
        <v>119</v>
      </c>
      <c r="G217">
        <v>2</v>
      </c>
      <c r="H217">
        <v>2101.42</v>
      </c>
      <c r="I217" s="2">
        <v>4202.84</v>
      </c>
      <c r="J217" t="s">
        <v>139</v>
      </c>
    </row>
    <row r="218" spans="1:10" x14ac:dyDescent="0.3">
      <c r="A218">
        <v>217</v>
      </c>
      <c r="B218" t="s">
        <v>49</v>
      </c>
      <c r="C218" s="1">
        <v>45329</v>
      </c>
      <c r="D218" t="s">
        <v>110</v>
      </c>
      <c r="E218" t="s">
        <v>115</v>
      </c>
      <c r="F218" t="s">
        <v>130</v>
      </c>
      <c r="G218">
        <v>2</v>
      </c>
      <c r="H218">
        <v>497.13</v>
      </c>
      <c r="I218" s="2">
        <v>994.26</v>
      </c>
      <c r="J218" t="s">
        <v>150</v>
      </c>
    </row>
    <row r="219" spans="1:10" x14ac:dyDescent="0.3">
      <c r="A219">
        <v>218</v>
      </c>
      <c r="B219" t="s">
        <v>21</v>
      </c>
      <c r="C219" s="1">
        <v>45467</v>
      </c>
      <c r="D219" t="s">
        <v>113</v>
      </c>
      <c r="E219" t="s">
        <v>117</v>
      </c>
      <c r="F219" t="s">
        <v>128</v>
      </c>
      <c r="G219">
        <v>1</v>
      </c>
      <c r="H219">
        <v>401.43</v>
      </c>
      <c r="I219" s="2">
        <v>401.43</v>
      </c>
      <c r="J219" t="s">
        <v>148</v>
      </c>
    </row>
    <row r="220" spans="1:10" x14ac:dyDescent="0.3">
      <c r="A220">
        <v>219</v>
      </c>
      <c r="B220" t="s">
        <v>54</v>
      </c>
      <c r="C220" s="1">
        <v>45515</v>
      </c>
      <c r="D220" t="s">
        <v>112</v>
      </c>
      <c r="E220" t="s">
        <v>114</v>
      </c>
      <c r="F220" t="s">
        <v>119</v>
      </c>
      <c r="G220">
        <v>3</v>
      </c>
      <c r="H220">
        <v>1804.27</v>
      </c>
      <c r="I220" s="2">
        <v>5412.81</v>
      </c>
      <c r="J220" t="s">
        <v>139</v>
      </c>
    </row>
    <row r="221" spans="1:10" x14ac:dyDescent="0.3">
      <c r="A221">
        <v>220</v>
      </c>
      <c r="B221" t="s">
        <v>37</v>
      </c>
      <c r="C221" s="1">
        <v>45331</v>
      </c>
      <c r="D221" t="s">
        <v>111</v>
      </c>
      <c r="E221" t="s">
        <v>114</v>
      </c>
      <c r="F221" t="s">
        <v>122</v>
      </c>
      <c r="G221">
        <v>1</v>
      </c>
      <c r="H221">
        <v>4405.29</v>
      </c>
      <c r="I221" s="2">
        <v>4405.29</v>
      </c>
      <c r="J221" t="s">
        <v>142</v>
      </c>
    </row>
    <row r="222" spans="1:10" x14ac:dyDescent="0.3">
      <c r="A222">
        <v>221</v>
      </c>
      <c r="B222" t="s">
        <v>21</v>
      </c>
      <c r="C222" s="1">
        <v>45459</v>
      </c>
      <c r="D222" t="s">
        <v>110</v>
      </c>
      <c r="E222" t="s">
        <v>118</v>
      </c>
      <c r="F222" t="s">
        <v>134</v>
      </c>
      <c r="G222">
        <v>9</v>
      </c>
      <c r="H222">
        <v>1736.64</v>
      </c>
      <c r="I222" s="2">
        <v>15629.76</v>
      </c>
      <c r="J222" t="s">
        <v>154</v>
      </c>
    </row>
    <row r="223" spans="1:10" x14ac:dyDescent="0.3">
      <c r="A223">
        <v>222</v>
      </c>
      <c r="B223" t="s">
        <v>67</v>
      </c>
      <c r="C223" s="1">
        <v>45472</v>
      </c>
      <c r="D223" t="s">
        <v>112</v>
      </c>
      <c r="E223" t="s">
        <v>117</v>
      </c>
      <c r="F223" t="s">
        <v>125</v>
      </c>
      <c r="G223">
        <v>6</v>
      </c>
      <c r="H223">
        <v>1027.19</v>
      </c>
      <c r="I223" s="2">
        <v>6163.14</v>
      </c>
      <c r="J223" t="s">
        <v>145</v>
      </c>
    </row>
    <row r="224" spans="1:10" x14ac:dyDescent="0.3">
      <c r="A224">
        <v>223</v>
      </c>
      <c r="B224" t="s">
        <v>94</v>
      </c>
      <c r="C224" s="1">
        <v>45526</v>
      </c>
      <c r="D224" t="s">
        <v>113</v>
      </c>
      <c r="E224" t="s">
        <v>116</v>
      </c>
      <c r="F224" t="s">
        <v>131</v>
      </c>
      <c r="G224">
        <v>3</v>
      </c>
      <c r="H224">
        <v>4407.45</v>
      </c>
      <c r="I224" s="2">
        <v>13222.35</v>
      </c>
      <c r="J224" t="s">
        <v>151</v>
      </c>
    </row>
    <row r="225" spans="1:10" x14ac:dyDescent="0.3">
      <c r="A225">
        <v>224</v>
      </c>
      <c r="B225" t="s">
        <v>81</v>
      </c>
      <c r="C225" s="1">
        <v>45451</v>
      </c>
      <c r="D225" t="s">
        <v>111</v>
      </c>
      <c r="E225" t="s">
        <v>114</v>
      </c>
      <c r="F225" t="s">
        <v>121</v>
      </c>
      <c r="G225">
        <v>7</v>
      </c>
      <c r="H225">
        <v>887.72</v>
      </c>
      <c r="I225" s="2">
        <v>6214.04</v>
      </c>
      <c r="J225" t="s">
        <v>141</v>
      </c>
    </row>
    <row r="226" spans="1:10" x14ac:dyDescent="0.3">
      <c r="A226">
        <v>225</v>
      </c>
      <c r="B226" t="s">
        <v>69</v>
      </c>
      <c r="C226" s="1">
        <v>45549</v>
      </c>
      <c r="D226" t="s">
        <v>112</v>
      </c>
      <c r="E226" t="s">
        <v>114</v>
      </c>
      <c r="F226" t="s">
        <v>122</v>
      </c>
      <c r="G226">
        <v>7</v>
      </c>
      <c r="H226">
        <v>1046.3499999999999</v>
      </c>
      <c r="I226" s="2">
        <v>7324.45</v>
      </c>
      <c r="J226" t="s">
        <v>142</v>
      </c>
    </row>
    <row r="227" spans="1:10" x14ac:dyDescent="0.3">
      <c r="A227">
        <v>226</v>
      </c>
      <c r="B227" t="s">
        <v>54</v>
      </c>
      <c r="C227" s="1">
        <v>45337</v>
      </c>
      <c r="D227" t="s">
        <v>111</v>
      </c>
      <c r="E227" t="s">
        <v>118</v>
      </c>
      <c r="F227" t="s">
        <v>138</v>
      </c>
      <c r="G227">
        <v>1</v>
      </c>
      <c r="H227">
        <v>667.63</v>
      </c>
      <c r="I227" s="2">
        <v>667.63</v>
      </c>
      <c r="J227" t="s">
        <v>158</v>
      </c>
    </row>
    <row r="228" spans="1:10" x14ac:dyDescent="0.3">
      <c r="A228">
        <v>227</v>
      </c>
      <c r="B228" t="s">
        <v>70</v>
      </c>
      <c r="C228" s="1">
        <v>45479</v>
      </c>
      <c r="D228" t="s">
        <v>110</v>
      </c>
      <c r="E228" t="s">
        <v>114</v>
      </c>
      <c r="F228" t="s">
        <v>119</v>
      </c>
      <c r="G228">
        <v>6</v>
      </c>
      <c r="H228">
        <v>1488.38</v>
      </c>
      <c r="I228" s="2">
        <v>8930.2800000000007</v>
      </c>
      <c r="J228" t="s">
        <v>139</v>
      </c>
    </row>
    <row r="229" spans="1:10" x14ac:dyDescent="0.3">
      <c r="A229">
        <v>228</v>
      </c>
      <c r="B229" t="s">
        <v>43</v>
      </c>
      <c r="C229" s="1">
        <v>45365</v>
      </c>
      <c r="D229" t="s">
        <v>113</v>
      </c>
      <c r="E229" t="s">
        <v>116</v>
      </c>
      <c r="F229" t="s">
        <v>136</v>
      </c>
      <c r="G229">
        <v>5</v>
      </c>
      <c r="H229">
        <v>602.29999999999995</v>
      </c>
      <c r="I229" s="2">
        <v>3011.5</v>
      </c>
      <c r="J229" t="s">
        <v>156</v>
      </c>
    </row>
    <row r="230" spans="1:10" x14ac:dyDescent="0.3">
      <c r="A230">
        <v>229</v>
      </c>
      <c r="B230" t="s">
        <v>80</v>
      </c>
      <c r="C230" s="1">
        <v>45533</v>
      </c>
      <c r="D230" t="s">
        <v>110</v>
      </c>
      <c r="E230" t="s">
        <v>115</v>
      </c>
      <c r="F230" t="s">
        <v>120</v>
      </c>
      <c r="G230">
        <v>1</v>
      </c>
      <c r="H230">
        <v>3877.82</v>
      </c>
      <c r="I230" s="2">
        <v>3877.82</v>
      </c>
      <c r="J230" t="s">
        <v>140</v>
      </c>
    </row>
    <row r="231" spans="1:10" x14ac:dyDescent="0.3">
      <c r="A231">
        <v>230</v>
      </c>
      <c r="B231" t="s">
        <v>14</v>
      </c>
      <c r="C231" s="1">
        <v>45484</v>
      </c>
      <c r="D231" t="s">
        <v>112</v>
      </c>
      <c r="E231" t="s">
        <v>116</v>
      </c>
      <c r="F231" t="s">
        <v>126</v>
      </c>
      <c r="G231">
        <v>2</v>
      </c>
      <c r="H231">
        <v>4370.53</v>
      </c>
      <c r="I231" s="2">
        <v>8741.06</v>
      </c>
      <c r="J231" t="s">
        <v>146</v>
      </c>
    </row>
    <row r="232" spans="1:10" x14ac:dyDescent="0.3">
      <c r="A232">
        <v>231</v>
      </c>
      <c r="B232" t="s">
        <v>99</v>
      </c>
      <c r="C232" s="1">
        <v>45466</v>
      </c>
      <c r="D232" t="s">
        <v>113</v>
      </c>
      <c r="E232" t="s">
        <v>117</v>
      </c>
      <c r="F232" t="s">
        <v>133</v>
      </c>
      <c r="G232">
        <v>3</v>
      </c>
      <c r="H232">
        <v>3012.54</v>
      </c>
      <c r="I232" s="2">
        <v>9037.6200000000008</v>
      </c>
      <c r="J232" t="s">
        <v>153</v>
      </c>
    </row>
    <row r="233" spans="1:10" x14ac:dyDescent="0.3">
      <c r="A233">
        <v>232</v>
      </c>
      <c r="B233" t="s">
        <v>77</v>
      </c>
      <c r="C233" s="1">
        <v>45298</v>
      </c>
      <c r="D233" t="s">
        <v>113</v>
      </c>
      <c r="E233" t="s">
        <v>115</v>
      </c>
      <c r="F233" t="s">
        <v>130</v>
      </c>
      <c r="G233">
        <v>6</v>
      </c>
      <c r="H233">
        <v>1921.98</v>
      </c>
      <c r="I233" s="2">
        <v>11531.88</v>
      </c>
      <c r="J233" t="s">
        <v>150</v>
      </c>
    </row>
    <row r="234" spans="1:10" x14ac:dyDescent="0.3">
      <c r="A234">
        <v>233</v>
      </c>
      <c r="B234" t="s">
        <v>79</v>
      </c>
      <c r="C234" s="1">
        <v>45349</v>
      </c>
      <c r="D234" t="s">
        <v>111</v>
      </c>
      <c r="E234" t="s">
        <v>116</v>
      </c>
      <c r="F234" t="s">
        <v>124</v>
      </c>
      <c r="G234">
        <v>2</v>
      </c>
      <c r="H234">
        <v>4985.91</v>
      </c>
      <c r="I234" s="2">
        <v>9971.82</v>
      </c>
      <c r="J234" t="s">
        <v>144</v>
      </c>
    </row>
    <row r="235" spans="1:10" x14ac:dyDescent="0.3">
      <c r="A235">
        <v>234</v>
      </c>
      <c r="B235" t="s">
        <v>86</v>
      </c>
      <c r="C235" s="1">
        <v>45390</v>
      </c>
      <c r="D235" t="s">
        <v>113</v>
      </c>
      <c r="E235" t="s">
        <v>118</v>
      </c>
      <c r="F235" t="s">
        <v>134</v>
      </c>
      <c r="G235">
        <v>7</v>
      </c>
      <c r="H235">
        <v>4147.01</v>
      </c>
      <c r="I235" s="2">
        <v>29029.07</v>
      </c>
      <c r="J235" t="s">
        <v>154</v>
      </c>
    </row>
    <row r="236" spans="1:10" x14ac:dyDescent="0.3">
      <c r="A236">
        <v>235</v>
      </c>
      <c r="B236" t="s">
        <v>33</v>
      </c>
      <c r="C236" s="1">
        <v>45579</v>
      </c>
      <c r="D236" t="s">
        <v>112</v>
      </c>
      <c r="E236" t="s">
        <v>117</v>
      </c>
      <c r="F236" t="s">
        <v>127</v>
      </c>
      <c r="G236">
        <v>3</v>
      </c>
      <c r="H236">
        <v>4759.2299999999996</v>
      </c>
      <c r="I236" s="2">
        <v>14277.69</v>
      </c>
      <c r="J236" t="s">
        <v>147</v>
      </c>
    </row>
    <row r="237" spans="1:10" x14ac:dyDescent="0.3">
      <c r="A237">
        <v>236</v>
      </c>
      <c r="B237" t="s">
        <v>18</v>
      </c>
      <c r="C237" s="1">
        <v>45383</v>
      </c>
      <c r="D237" t="s">
        <v>113</v>
      </c>
      <c r="E237" t="s">
        <v>114</v>
      </c>
      <c r="F237" t="s">
        <v>119</v>
      </c>
      <c r="G237">
        <v>5</v>
      </c>
      <c r="H237">
        <v>3228.78</v>
      </c>
      <c r="I237" s="2">
        <v>16143.9</v>
      </c>
      <c r="J237" t="s">
        <v>139</v>
      </c>
    </row>
    <row r="238" spans="1:10" x14ac:dyDescent="0.3">
      <c r="A238">
        <v>237</v>
      </c>
      <c r="B238" t="s">
        <v>12</v>
      </c>
      <c r="C238" s="1">
        <v>45438</v>
      </c>
      <c r="D238" t="s">
        <v>113</v>
      </c>
      <c r="E238" t="s">
        <v>114</v>
      </c>
      <c r="F238" t="s">
        <v>119</v>
      </c>
      <c r="G238">
        <v>1</v>
      </c>
      <c r="H238">
        <v>1671.64</v>
      </c>
      <c r="I238" s="2">
        <v>1671.64</v>
      </c>
      <c r="J238" t="s">
        <v>139</v>
      </c>
    </row>
    <row r="239" spans="1:10" x14ac:dyDescent="0.3">
      <c r="A239">
        <v>238</v>
      </c>
      <c r="B239" t="s">
        <v>24</v>
      </c>
      <c r="C239" s="1">
        <v>45306</v>
      </c>
      <c r="D239" t="s">
        <v>112</v>
      </c>
      <c r="E239" t="s">
        <v>114</v>
      </c>
      <c r="F239" t="s">
        <v>119</v>
      </c>
      <c r="G239">
        <v>1</v>
      </c>
      <c r="H239">
        <v>3293.17</v>
      </c>
      <c r="I239" s="2">
        <v>3293.17</v>
      </c>
      <c r="J239" t="s">
        <v>139</v>
      </c>
    </row>
    <row r="240" spans="1:10" x14ac:dyDescent="0.3">
      <c r="A240">
        <v>239</v>
      </c>
      <c r="B240" t="s">
        <v>13</v>
      </c>
      <c r="C240" s="1">
        <v>45565</v>
      </c>
      <c r="D240" t="s">
        <v>111</v>
      </c>
      <c r="E240" t="s">
        <v>117</v>
      </c>
      <c r="F240" t="s">
        <v>133</v>
      </c>
      <c r="G240">
        <v>8</v>
      </c>
      <c r="H240">
        <v>880.3</v>
      </c>
      <c r="I240" s="2">
        <v>7042.4</v>
      </c>
      <c r="J240" t="s">
        <v>153</v>
      </c>
    </row>
    <row r="241" spans="1:10" x14ac:dyDescent="0.3">
      <c r="A241">
        <v>240</v>
      </c>
      <c r="B241" t="s">
        <v>31</v>
      </c>
      <c r="C241" s="1">
        <v>45436</v>
      </c>
      <c r="D241" t="s">
        <v>113</v>
      </c>
      <c r="E241" t="s">
        <v>114</v>
      </c>
      <c r="F241" t="s">
        <v>132</v>
      </c>
      <c r="G241">
        <v>2</v>
      </c>
      <c r="H241">
        <v>3829.02</v>
      </c>
      <c r="I241" s="2">
        <v>7658.04</v>
      </c>
      <c r="J241" t="s">
        <v>152</v>
      </c>
    </row>
    <row r="242" spans="1:10" x14ac:dyDescent="0.3">
      <c r="A242">
        <v>241</v>
      </c>
      <c r="B242" t="s">
        <v>100</v>
      </c>
      <c r="C242" s="1">
        <v>45472</v>
      </c>
      <c r="D242" t="s">
        <v>110</v>
      </c>
      <c r="E242" t="s">
        <v>117</v>
      </c>
      <c r="F242" t="s">
        <v>127</v>
      </c>
      <c r="G242">
        <v>3</v>
      </c>
      <c r="H242">
        <v>1008.75</v>
      </c>
      <c r="I242" s="2">
        <v>3026.25</v>
      </c>
      <c r="J242" t="s">
        <v>147</v>
      </c>
    </row>
    <row r="243" spans="1:10" x14ac:dyDescent="0.3">
      <c r="A243">
        <v>242</v>
      </c>
      <c r="B243" t="s">
        <v>12</v>
      </c>
      <c r="C243" s="1">
        <v>45444</v>
      </c>
      <c r="D243" t="s">
        <v>112</v>
      </c>
      <c r="E243" t="s">
        <v>118</v>
      </c>
      <c r="F243" t="s">
        <v>137</v>
      </c>
      <c r="G243">
        <v>4</v>
      </c>
      <c r="H243">
        <v>2208.5</v>
      </c>
      <c r="I243" s="2">
        <v>8834</v>
      </c>
      <c r="J243" t="s">
        <v>157</v>
      </c>
    </row>
    <row r="244" spans="1:10" x14ac:dyDescent="0.3">
      <c r="A244">
        <v>243</v>
      </c>
      <c r="B244" t="s">
        <v>93</v>
      </c>
      <c r="C244" s="1">
        <v>45505</v>
      </c>
      <c r="D244" t="s">
        <v>112</v>
      </c>
      <c r="E244" t="s">
        <v>114</v>
      </c>
      <c r="F244" t="s">
        <v>122</v>
      </c>
      <c r="G244">
        <v>2</v>
      </c>
      <c r="H244">
        <v>4008.04</v>
      </c>
      <c r="I244" s="2">
        <v>8016.08</v>
      </c>
      <c r="J244" t="s">
        <v>142</v>
      </c>
    </row>
    <row r="245" spans="1:10" x14ac:dyDescent="0.3">
      <c r="A245">
        <v>244</v>
      </c>
      <c r="B245" t="s">
        <v>14</v>
      </c>
      <c r="C245" s="1">
        <v>45355</v>
      </c>
      <c r="D245" t="s">
        <v>113</v>
      </c>
      <c r="E245" t="s">
        <v>118</v>
      </c>
      <c r="F245" t="s">
        <v>129</v>
      </c>
      <c r="G245">
        <v>5</v>
      </c>
      <c r="H245">
        <v>454.99</v>
      </c>
      <c r="I245" s="2">
        <v>2274.9499999999998</v>
      </c>
      <c r="J245" t="s">
        <v>149</v>
      </c>
    </row>
    <row r="246" spans="1:10" x14ac:dyDescent="0.3">
      <c r="A246">
        <v>245</v>
      </c>
      <c r="B246" t="s">
        <v>101</v>
      </c>
      <c r="C246" s="1">
        <v>45386</v>
      </c>
      <c r="D246" t="s">
        <v>112</v>
      </c>
      <c r="E246" t="s">
        <v>115</v>
      </c>
      <c r="F246" t="s">
        <v>130</v>
      </c>
      <c r="G246">
        <v>9</v>
      </c>
      <c r="H246">
        <v>4314.6000000000004</v>
      </c>
      <c r="I246" s="2">
        <v>38831.4</v>
      </c>
      <c r="J246" t="s">
        <v>150</v>
      </c>
    </row>
    <row r="247" spans="1:10" x14ac:dyDescent="0.3">
      <c r="A247">
        <v>246</v>
      </c>
      <c r="B247" t="s">
        <v>51</v>
      </c>
      <c r="C247" s="1">
        <v>45558</v>
      </c>
      <c r="D247" t="s">
        <v>112</v>
      </c>
      <c r="E247" t="s">
        <v>115</v>
      </c>
      <c r="F247" t="s">
        <v>120</v>
      </c>
      <c r="G247">
        <v>9</v>
      </c>
      <c r="H247">
        <v>1286.02</v>
      </c>
      <c r="I247" s="2">
        <v>11574.18</v>
      </c>
      <c r="J247" t="s">
        <v>140</v>
      </c>
    </row>
    <row r="248" spans="1:10" x14ac:dyDescent="0.3">
      <c r="A248">
        <v>247</v>
      </c>
      <c r="B248" t="s">
        <v>77</v>
      </c>
      <c r="C248" s="1">
        <v>45451</v>
      </c>
      <c r="D248" t="s">
        <v>111</v>
      </c>
      <c r="E248" t="s">
        <v>117</v>
      </c>
      <c r="F248" t="s">
        <v>133</v>
      </c>
      <c r="G248">
        <v>1</v>
      </c>
      <c r="H248">
        <v>2842.28</v>
      </c>
      <c r="I248" s="2">
        <v>2842.28</v>
      </c>
      <c r="J248" t="s">
        <v>153</v>
      </c>
    </row>
    <row r="249" spans="1:10" x14ac:dyDescent="0.3">
      <c r="A249">
        <v>248</v>
      </c>
      <c r="B249" t="s">
        <v>102</v>
      </c>
      <c r="C249" s="1">
        <v>45533</v>
      </c>
      <c r="D249" t="s">
        <v>110</v>
      </c>
      <c r="E249" t="s">
        <v>118</v>
      </c>
      <c r="F249" t="s">
        <v>137</v>
      </c>
      <c r="G249">
        <v>1</v>
      </c>
      <c r="H249">
        <v>530.54999999999995</v>
      </c>
      <c r="I249" s="2">
        <v>530.54999999999995</v>
      </c>
      <c r="J249" t="s">
        <v>157</v>
      </c>
    </row>
    <row r="250" spans="1:10" x14ac:dyDescent="0.3">
      <c r="A250">
        <v>249</v>
      </c>
      <c r="B250" t="s">
        <v>35</v>
      </c>
      <c r="C250" s="1">
        <v>45368</v>
      </c>
      <c r="D250" t="s">
        <v>110</v>
      </c>
      <c r="E250" t="s">
        <v>116</v>
      </c>
      <c r="F250" t="s">
        <v>124</v>
      </c>
      <c r="G250">
        <v>7</v>
      </c>
      <c r="H250">
        <v>750.31</v>
      </c>
      <c r="I250" s="2">
        <v>5252.17</v>
      </c>
      <c r="J250" t="s">
        <v>144</v>
      </c>
    </row>
    <row r="251" spans="1:10" x14ac:dyDescent="0.3">
      <c r="A251">
        <v>250</v>
      </c>
      <c r="B251" t="s">
        <v>32</v>
      </c>
      <c r="C251" s="1">
        <v>45465</v>
      </c>
      <c r="D251" t="s">
        <v>112</v>
      </c>
      <c r="E251" t="s">
        <v>116</v>
      </c>
      <c r="F251" t="s">
        <v>136</v>
      </c>
      <c r="G251">
        <v>2</v>
      </c>
      <c r="H251">
        <v>301.8</v>
      </c>
      <c r="I251" s="2">
        <v>603.6</v>
      </c>
      <c r="J251" t="s">
        <v>156</v>
      </c>
    </row>
    <row r="252" spans="1:10" x14ac:dyDescent="0.3">
      <c r="A252">
        <v>251</v>
      </c>
      <c r="B252" t="s">
        <v>77</v>
      </c>
      <c r="C252" s="1">
        <v>45414</v>
      </c>
      <c r="D252" t="s">
        <v>112</v>
      </c>
      <c r="E252" t="s">
        <v>118</v>
      </c>
      <c r="F252" t="s">
        <v>137</v>
      </c>
      <c r="G252">
        <v>9</v>
      </c>
      <c r="H252">
        <v>354.66</v>
      </c>
      <c r="I252" s="2">
        <v>3191.94</v>
      </c>
      <c r="J252" t="s">
        <v>157</v>
      </c>
    </row>
    <row r="253" spans="1:10" x14ac:dyDescent="0.3">
      <c r="A253">
        <v>252</v>
      </c>
      <c r="B253" t="s">
        <v>20</v>
      </c>
      <c r="C253" s="1">
        <v>45332</v>
      </c>
      <c r="D253" t="s">
        <v>112</v>
      </c>
      <c r="E253" t="s">
        <v>117</v>
      </c>
      <c r="F253" t="s">
        <v>133</v>
      </c>
      <c r="G253">
        <v>8</v>
      </c>
      <c r="H253">
        <v>3599.03</v>
      </c>
      <c r="I253" s="2">
        <v>28792.240000000002</v>
      </c>
      <c r="J253" t="s">
        <v>153</v>
      </c>
    </row>
    <row r="254" spans="1:10" x14ac:dyDescent="0.3">
      <c r="A254">
        <v>253</v>
      </c>
      <c r="B254" t="s">
        <v>96</v>
      </c>
      <c r="C254" s="1">
        <v>45375</v>
      </c>
      <c r="D254" t="s">
        <v>112</v>
      </c>
      <c r="E254" t="s">
        <v>115</v>
      </c>
      <c r="F254" t="s">
        <v>123</v>
      </c>
      <c r="G254">
        <v>7</v>
      </c>
      <c r="H254">
        <v>3338.02</v>
      </c>
      <c r="I254" s="2">
        <v>23366.14</v>
      </c>
      <c r="J254" t="s">
        <v>143</v>
      </c>
    </row>
    <row r="255" spans="1:10" x14ac:dyDescent="0.3">
      <c r="A255">
        <v>254</v>
      </c>
      <c r="B255" t="s">
        <v>26</v>
      </c>
      <c r="C255" s="1">
        <v>45313</v>
      </c>
      <c r="D255" t="s">
        <v>112</v>
      </c>
      <c r="E255" t="s">
        <v>115</v>
      </c>
      <c r="F255" t="s">
        <v>123</v>
      </c>
      <c r="G255">
        <v>9</v>
      </c>
      <c r="H255">
        <v>903.6</v>
      </c>
      <c r="I255" s="2">
        <v>8132.4</v>
      </c>
      <c r="J255" t="s">
        <v>143</v>
      </c>
    </row>
    <row r="256" spans="1:10" x14ac:dyDescent="0.3">
      <c r="A256">
        <v>255</v>
      </c>
      <c r="B256" t="s">
        <v>37</v>
      </c>
      <c r="C256" s="1">
        <v>45303</v>
      </c>
      <c r="D256" t="s">
        <v>111</v>
      </c>
      <c r="E256" t="s">
        <v>117</v>
      </c>
      <c r="F256" t="s">
        <v>128</v>
      </c>
      <c r="G256">
        <v>9</v>
      </c>
      <c r="H256">
        <v>4371.74</v>
      </c>
      <c r="I256" s="2">
        <v>39345.660000000003</v>
      </c>
      <c r="J256" t="s">
        <v>148</v>
      </c>
    </row>
    <row r="257" spans="1:10" x14ac:dyDescent="0.3">
      <c r="A257">
        <v>256</v>
      </c>
      <c r="B257" t="s">
        <v>55</v>
      </c>
      <c r="C257" s="1">
        <v>45346</v>
      </c>
      <c r="D257" t="s">
        <v>112</v>
      </c>
      <c r="E257" t="s">
        <v>117</v>
      </c>
      <c r="F257" t="s">
        <v>128</v>
      </c>
      <c r="G257">
        <v>8</v>
      </c>
      <c r="H257">
        <v>4371.9799999999996</v>
      </c>
      <c r="I257" s="2">
        <v>34975.839999999997</v>
      </c>
      <c r="J257" t="s">
        <v>148</v>
      </c>
    </row>
    <row r="258" spans="1:10" x14ac:dyDescent="0.3">
      <c r="A258">
        <v>257</v>
      </c>
      <c r="B258" t="s">
        <v>10</v>
      </c>
      <c r="C258" s="1">
        <v>45474</v>
      </c>
      <c r="D258" t="s">
        <v>110</v>
      </c>
      <c r="E258" t="s">
        <v>115</v>
      </c>
      <c r="F258" t="s">
        <v>120</v>
      </c>
      <c r="G258">
        <v>2</v>
      </c>
      <c r="H258">
        <v>202.22</v>
      </c>
      <c r="I258" s="2">
        <v>404.44</v>
      </c>
      <c r="J258" t="s">
        <v>140</v>
      </c>
    </row>
    <row r="259" spans="1:10" x14ac:dyDescent="0.3">
      <c r="A259">
        <v>258</v>
      </c>
      <c r="B259" t="s">
        <v>25</v>
      </c>
      <c r="C259" s="1">
        <v>45441</v>
      </c>
      <c r="D259" t="s">
        <v>113</v>
      </c>
      <c r="E259" t="s">
        <v>118</v>
      </c>
      <c r="F259" t="s">
        <v>134</v>
      </c>
      <c r="G259">
        <v>3</v>
      </c>
      <c r="H259">
        <v>499.48</v>
      </c>
      <c r="I259" s="2">
        <v>1498.44</v>
      </c>
      <c r="J259" t="s">
        <v>154</v>
      </c>
    </row>
    <row r="260" spans="1:10" x14ac:dyDescent="0.3">
      <c r="A260">
        <v>259</v>
      </c>
      <c r="B260" t="s">
        <v>39</v>
      </c>
      <c r="C260" s="1">
        <v>45384</v>
      </c>
      <c r="D260" t="s">
        <v>112</v>
      </c>
      <c r="E260" t="s">
        <v>118</v>
      </c>
      <c r="F260" t="s">
        <v>134</v>
      </c>
      <c r="G260">
        <v>1</v>
      </c>
      <c r="H260">
        <v>4354.54</v>
      </c>
      <c r="I260" s="2">
        <v>4354.54</v>
      </c>
      <c r="J260" t="s">
        <v>154</v>
      </c>
    </row>
    <row r="261" spans="1:10" x14ac:dyDescent="0.3">
      <c r="A261">
        <v>260</v>
      </c>
      <c r="B261" t="s">
        <v>52</v>
      </c>
      <c r="C261" s="1">
        <v>45315</v>
      </c>
      <c r="D261" t="s">
        <v>110</v>
      </c>
      <c r="E261" t="s">
        <v>114</v>
      </c>
      <c r="F261" t="s">
        <v>132</v>
      </c>
      <c r="G261">
        <v>4</v>
      </c>
      <c r="H261">
        <v>2573.7399999999998</v>
      </c>
      <c r="I261" s="2">
        <v>10294.959999999999</v>
      </c>
      <c r="J261" t="s">
        <v>152</v>
      </c>
    </row>
    <row r="262" spans="1:10" x14ac:dyDescent="0.3">
      <c r="A262">
        <v>261</v>
      </c>
      <c r="B262" t="s">
        <v>81</v>
      </c>
      <c r="C262" s="1">
        <v>45468</v>
      </c>
      <c r="D262" t="s">
        <v>111</v>
      </c>
      <c r="E262" t="s">
        <v>118</v>
      </c>
      <c r="F262" t="s">
        <v>129</v>
      </c>
      <c r="G262">
        <v>5</v>
      </c>
      <c r="H262">
        <v>2038.02</v>
      </c>
      <c r="I262" s="2">
        <v>10190.1</v>
      </c>
      <c r="J262" t="s">
        <v>149</v>
      </c>
    </row>
    <row r="263" spans="1:10" x14ac:dyDescent="0.3">
      <c r="A263">
        <v>262</v>
      </c>
      <c r="B263" t="s">
        <v>74</v>
      </c>
      <c r="C263" s="1">
        <v>45357</v>
      </c>
      <c r="D263" t="s">
        <v>111</v>
      </c>
      <c r="E263" t="s">
        <v>116</v>
      </c>
      <c r="F263" t="s">
        <v>126</v>
      </c>
      <c r="G263">
        <v>6</v>
      </c>
      <c r="H263">
        <v>3309.55</v>
      </c>
      <c r="I263" s="2">
        <v>19857.3</v>
      </c>
      <c r="J263" t="s">
        <v>146</v>
      </c>
    </row>
    <row r="264" spans="1:10" x14ac:dyDescent="0.3">
      <c r="A264">
        <v>263</v>
      </c>
      <c r="B264" t="s">
        <v>100</v>
      </c>
      <c r="C264" s="1">
        <v>45537</v>
      </c>
      <c r="D264" t="s">
        <v>113</v>
      </c>
      <c r="E264" t="s">
        <v>117</v>
      </c>
      <c r="F264" t="s">
        <v>125</v>
      </c>
      <c r="G264">
        <v>2</v>
      </c>
      <c r="H264">
        <v>3194.65</v>
      </c>
      <c r="I264" s="2">
        <v>6389.3</v>
      </c>
      <c r="J264" t="s">
        <v>145</v>
      </c>
    </row>
    <row r="265" spans="1:10" x14ac:dyDescent="0.3">
      <c r="A265">
        <v>264</v>
      </c>
      <c r="B265" t="s">
        <v>34</v>
      </c>
      <c r="C265" s="1">
        <v>45516</v>
      </c>
      <c r="D265" t="s">
        <v>111</v>
      </c>
      <c r="E265" t="s">
        <v>116</v>
      </c>
      <c r="F265" t="s">
        <v>126</v>
      </c>
      <c r="G265">
        <v>4</v>
      </c>
      <c r="H265">
        <v>4554.26</v>
      </c>
      <c r="I265" s="2">
        <v>18217.04</v>
      </c>
      <c r="J265" t="s">
        <v>146</v>
      </c>
    </row>
    <row r="266" spans="1:10" x14ac:dyDescent="0.3">
      <c r="A266">
        <v>265</v>
      </c>
      <c r="B266" t="s">
        <v>101</v>
      </c>
      <c r="C266" s="1">
        <v>45589</v>
      </c>
      <c r="D266" t="s">
        <v>110</v>
      </c>
      <c r="E266" t="s">
        <v>116</v>
      </c>
      <c r="F266" t="s">
        <v>136</v>
      </c>
      <c r="G266">
        <v>5</v>
      </c>
      <c r="H266">
        <v>4286.49</v>
      </c>
      <c r="I266" s="2">
        <v>21432.45</v>
      </c>
      <c r="J266" t="s">
        <v>156</v>
      </c>
    </row>
    <row r="267" spans="1:10" x14ac:dyDescent="0.3">
      <c r="A267">
        <v>266</v>
      </c>
      <c r="B267" t="s">
        <v>80</v>
      </c>
      <c r="C267" s="1">
        <v>45402</v>
      </c>
      <c r="D267" t="s">
        <v>112</v>
      </c>
      <c r="E267" t="s">
        <v>118</v>
      </c>
      <c r="F267" t="s">
        <v>129</v>
      </c>
      <c r="G267">
        <v>2</v>
      </c>
      <c r="H267">
        <v>566.78</v>
      </c>
      <c r="I267" s="2">
        <v>1133.56</v>
      </c>
      <c r="J267" t="s">
        <v>149</v>
      </c>
    </row>
    <row r="268" spans="1:10" x14ac:dyDescent="0.3">
      <c r="A268">
        <v>267</v>
      </c>
      <c r="B268" t="s">
        <v>91</v>
      </c>
      <c r="C268" s="1">
        <v>45319</v>
      </c>
      <c r="D268" t="s">
        <v>112</v>
      </c>
      <c r="E268" t="s">
        <v>115</v>
      </c>
      <c r="F268" t="s">
        <v>130</v>
      </c>
      <c r="G268">
        <v>5</v>
      </c>
      <c r="H268">
        <v>1693.43</v>
      </c>
      <c r="I268" s="2">
        <v>8467.15</v>
      </c>
      <c r="J268" t="s">
        <v>150</v>
      </c>
    </row>
    <row r="269" spans="1:10" x14ac:dyDescent="0.3">
      <c r="A269">
        <v>268</v>
      </c>
      <c r="B269" t="s">
        <v>96</v>
      </c>
      <c r="C269" s="1">
        <v>45455</v>
      </c>
      <c r="D269" t="s">
        <v>113</v>
      </c>
      <c r="E269" t="s">
        <v>115</v>
      </c>
      <c r="F269" t="s">
        <v>135</v>
      </c>
      <c r="G269">
        <v>3</v>
      </c>
      <c r="H269">
        <v>2265.92</v>
      </c>
      <c r="I269" s="2">
        <v>6797.76</v>
      </c>
      <c r="J269" t="s">
        <v>155</v>
      </c>
    </row>
    <row r="270" spans="1:10" x14ac:dyDescent="0.3">
      <c r="A270">
        <v>269</v>
      </c>
      <c r="B270" t="s">
        <v>53</v>
      </c>
      <c r="C270" s="1">
        <v>45384</v>
      </c>
      <c r="D270" t="s">
        <v>112</v>
      </c>
      <c r="E270" t="s">
        <v>117</v>
      </c>
      <c r="F270" t="s">
        <v>127</v>
      </c>
      <c r="G270">
        <v>9</v>
      </c>
      <c r="H270">
        <v>2211.35</v>
      </c>
      <c r="I270" s="2">
        <v>19902.150000000001</v>
      </c>
      <c r="J270" t="s">
        <v>147</v>
      </c>
    </row>
    <row r="271" spans="1:10" x14ac:dyDescent="0.3">
      <c r="A271">
        <v>270</v>
      </c>
      <c r="B271" t="s">
        <v>41</v>
      </c>
      <c r="C271" s="1">
        <v>45555</v>
      </c>
      <c r="D271" t="s">
        <v>111</v>
      </c>
      <c r="E271" t="s">
        <v>117</v>
      </c>
      <c r="F271" t="s">
        <v>128</v>
      </c>
      <c r="G271">
        <v>9</v>
      </c>
      <c r="H271">
        <v>918.51</v>
      </c>
      <c r="I271" s="2">
        <v>8266.59</v>
      </c>
      <c r="J271" t="s">
        <v>148</v>
      </c>
    </row>
    <row r="272" spans="1:10" x14ac:dyDescent="0.3">
      <c r="A272">
        <v>271</v>
      </c>
      <c r="B272" t="s">
        <v>95</v>
      </c>
      <c r="C272" s="1">
        <v>45575</v>
      </c>
      <c r="D272" t="s">
        <v>113</v>
      </c>
      <c r="E272" t="s">
        <v>115</v>
      </c>
      <c r="F272" t="s">
        <v>130</v>
      </c>
      <c r="G272">
        <v>5</v>
      </c>
      <c r="H272">
        <v>2714.21</v>
      </c>
      <c r="I272" s="2">
        <v>13571.05</v>
      </c>
      <c r="J272" t="s">
        <v>150</v>
      </c>
    </row>
    <row r="273" spans="1:10" x14ac:dyDescent="0.3">
      <c r="A273">
        <v>272</v>
      </c>
      <c r="B273" t="s">
        <v>47</v>
      </c>
      <c r="C273" s="1">
        <v>45411</v>
      </c>
      <c r="D273" t="s">
        <v>110</v>
      </c>
      <c r="E273" t="s">
        <v>117</v>
      </c>
      <c r="F273" t="s">
        <v>125</v>
      </c>
      <c r="G273">
        <v>6</v>
      </c>
      <c r="H273">
        <v>1108.6199999999999</v>
      </c>
      <c r="I273" s="2">
        <v>6651.72</v>
      </c>
      <c r="J273" t="s">
        <v>145</v>
      </c>
    </row>
    <row r="274" spans="1:10" x14ac:dyDescent="0.3">
      <c r="A274">
        <v>273</v>
      </c>
      <c r="B274" t="s">
        <v>82</v>
      </c>
      <c r="C274" s="1">
        <v>45421</v>
      </c>
      <c r="D274" t="s">
        <v>113</v>
      </c>
      <c r="E274" t="s">
        <v>114</v>
      </c>
      <c r="F274" t="s">
        <v>132</v>
      </c>
      <c r="G274">
        <v>1</v>
      </c>
      <c r="H274">
        <v>698.34</v>
      </c>
      <c r="I274" s="2">
        <v>698.34</v>
      </c>
      <c r="J274" t="s">
        <v>152</v>
      </c>
    </row>
    <row r="275" spans="1:10" x14ac:dyDescent="0.3">
      <c r="A275">
        <v>274</v>
      </c>
      <c r="B275" t="s">
        <v>24</v>
      </c>
      <c r="C275" s="1">
        <v>45536</v>
      </c>
      <c r="D275" t="s">
        <v>111</v>
      </c>
      <c r="E275" t="s">
        <v>114</v>
      </c>
      <c r="F275" t="s">
        <v>122</v>
      </c>
      <c r="G275">
        <v>1</v>
      </c>
      <c r="H275">
        <v>2964.89</v>
      </c>
      <c r="I275" s="2">
        <v>2964.89</v>
      </c>
      <c r="J275" t="s">
        <v>142</v>
      </c>
    </row>
    <row r="276" spans="1:10" x14ac:dyDescent="0.3">
      <c r="A276">
        <v>275</v>
      </c>
      <c r="B276" t="s">
        <v>75</v>
      </c>
      <c r="C276" s="1">
        <v>45567</v>
      </c>
      <c r="D276" t="s">
        <v>113</v>
      </c>
      <c r="E276" t="s">
        <v>116</v>
      </c>
      <c r="F276" t="s">
        <v>126</v>
      </c>
      <c r="G276">
        <v>2</v>
      </c>
      <c r="H276">
        <v>1683.34</v>
      </c>
      <c r="I276" s="2">
        <v>3366.68</v>
      </c>
      <c r="J276" t="s">
        <v>146</v>
      </c>
    </row>
    <row r="277" spans="1:10" x14ac:dyDescent="0.3">
      <c r="A277">
        <v>276</v>
      </c>
      <c r="B277" t="s">
        <v>41</v>
      </c>
      <c r="C277" s="1">
        <v>45476</v>
      </c>
      <c r="D277" t="s">
        <v>111</v>
      </c>
      <c r="E277" t="s">
        <v>115</v>
      </c>
      <c r="F277" t="s">
        <v>135</v>
      </c>
      <c r="G277">
        <v>7</v>
      </c>
      <c r="H277">
        <v>3367.63</v>
      </c>
      <c r="I277" s="2">
        <v>23573.41</v>
      </c>
      <c r="J277" t="s">
        <v>155</v>
      </c>
    </row>
    <row r="278" spans="1:10" x14ac:dyDescent="0.3">
      <c r="A278">
        <v>277</v>
      </c>
      <c r="B278" t="s">
        <v>44</v>
      </c>
      <c r="C278" s="1">
        <v>45442</v>
      </c>
      <c r="D278" t="s">
        <v>110</v>
      </c>
      <c r="E278" t="s">
        <v>114</v>
      </c>
      <c r="F278" t="s">
        <v>132</v>
      </c>
      <c r="G278">
        <v>2</v>
      </c>
      <c r="H278">
        <v>1089.08</v>
      </c>
      <c r="I278" s="2">
        <v>2178.16</v>
      </c>
      <c r="J278" t="s">
        <v>152</v>
      </c>
    </row>
    <row r="279" spans="1:10" x14ac:dyDescent="0.3">
      <c r="A279">
        <v>278</v>
      </c>
      <c r="B279" t="s">
        <v>29</v>
      </c>
      <c r="C279" s="1">
        <v>45420</v>
      </c>
      <c r="D279" t="s">
        <v>111</v>
      </c>
      <c r="E279" t="s">
        <v>114</v>
      </c>
      <c r="F279" t="s">
        <v>132</v>
      </c>
      <c r="G279">
        <v>6</v>
      </c>
      <c r="H279">
        <v>4353.8999999999996</v>
      </c>
      <c r="I279" s="2">
        <v>26123.4</v>
      </c>
      <c r="J279" t="s">
        <v>152</v>
      </c>
    </row>
    <row r="280" spans="1:10" x14ac:dyDescent="0.3">
      <c r="A280">
        <v>279</v>
      </c>
      <c r="B280" t="s">
        <v>89</v>
      </c>
      <c r="C280" s="1">
        <v>45466</v>
      </c>
      <c r="D280" t="s">
        <v>112</v>
      </c>
      <c r="E280" t="s">
        <v>118</v>
      </c>
      <c r="F280" t="s">
        <v>134</v>
      </c>
      <c r="G280">
        <v>7</v>
      </c>
      <c r="H280">
        <v>4728.6099999999997</v>
      </c>
      <c r="I280" s="2">
        <v>33100.269999999997</v>
      </c>
      <c r="J280" t="s">
        <v>154</v>
      </c>
    </row>
    <row r="281" spans="1:10" x14ac:dyDescent="0.3">
      <c r="A281">
        <v>280</v>
      </c>
      <c r="B281" t="s">
        <v>99</v>
      </c>
      <c r="C281" s="1">
        <v>45405</v>
      </c>
      <c r="D281" t="s">
        <v>112</v>
      </c>
      <c r="E281" t="s">
        <v>118</v>
      </c>
      <c r="F281" t="s">
        <v>137</v>
      </c>
      <c r="G281">
        <v>8</v>
      </c>
      <c r="H281">
        <v>4336.58</v>
      </c>
      <c r="I281" s="2">
        <v>34692.639999999999</v>
      </c>
      <c r="J281" t="s">
        <v>157</v>
      </c>
    </row>
    <row r="282" spans="1:10" x14ac:dyDescent="0.3">
      <c r="A282">
        <v>281</v>
      </c>
      <c r="B282" t="s">
        <v>35</v>
      </c>
      <c r="C282" s="1">
        <v>45580</v>
      </c>
      <c r="D282" t="s">
        <v>113</v>
      </c>
      <c r="E282" t="s">
        <v>115</v>
      </c>
      <c r="F282" t="s">
        <v>123</v>
      </c>
      <c r="G282">
        <v>5</v>
      </c>
      <c r="H282">
        <v>3368.16</v>
      </c>
      <c r="I282" s="2">
        <v>16840.8</v>
      </c>
      <c r="J282" t="s">
        <v>143</v>
      </c>
    </row>
    <row r="283" spans="1:10" x14ac:dyDescent="0.3">
      <c r="A283">
        <v>282</v>
      </c>
      <c r="B283" t="s">
        <v>23</v>
      </c>
      <c r="C283" s="1">
        <v>45511</v>
      </c>
      <c r="D283" t="s">
        <v>112</v>
      </c>
      <c r="E283" t="s">
        <v>116</v>
      </c>
      <c r="F283" t="s">
        <v>126</v>
      </c>
      <c r="G283">
        <v>6</v>
      </c>
      <c r="H283">
        <v>1658.75</v>
      </c>
      <c r="I283" s="2">
        <v>9952.5</v>
      </c>
      <c r="J283" t="s">
        <v>146</v>
      </c>
    </row>
    <row r="284" spans="1:10" x14ac:dyDescent="0.3">
      <c r="A284">
        <v>283</v>
      </c>
      <c r="B284" t="s">
        <v>86</v>
      </c>
      <c r="C284" s="1">
        <v>45460</v>
      </c>
      <c r="D284" t="s">
        <v>113</v>
      </c>
      <c r="E284" t="s">
        <v>114</v>
      </c>
      <c r="F284" t="s">
        <v>122</v>
      </c>
      <c r="G284">
        <v>5</v>
      </c>
      <c r="H284">
        <v>2878.38</v>
      </c>
      <c r="I284" s="2">
        <v>14391.9</v>
      </c>
      <c r="J284" t="s">
        <v>142</v>
      </c>
    </row>
    <row r="285" spans="1:10" x14ac:dyDescent="0.3">
      <c r="A285">
        <v>284</v>
      </c>
      <c r="B285" t="s">
        <v>42</v>
      </c>
      <c r="C285" s="1">
        <v>45389</v>
      </c>
      <c r="D285" t="s">
        <v>113</v>
      </c>
      <c r="E285" t="s">
        <v>117</v>
      </c>
      <c r="F285" t="s">
        <v>127</v>
      </c>
      <c r="G285">
        <v>3</v>
      </c>
      <c r="H285">
        <v>4058.45</v>
      </c>
      <c r="I285" s="2">
        <v>12175.35</v>
      </c>
      <c r="J285" t="s">
        <v>147</v>
      </c>
    </row>
    <row r="286" spans="1:10" x14ac:dyDescent="0.3">
      <c r="A286">
        <v>285</v>
      </c>
      <c r="B286" t="s">
        <v>103</v>
      </c>
      <c r="C286" s="1">
        <v>45570</v>
      </c>
      <c r="D286" t="s">
        <v>111</v>
      </c>
      <c r="E286" t="s">
        <v>114</v>
      </c>
      <c r="F286" t="s">
        <v>119</v>
      </c>
      <c r="G286">
        <v>1</v>
      </c>
      <c r="H286">
        <v>689.02</v>
      </c>
      <c r="I286" s="2">
        <v>689.02</v>
      </c>
      <c r="J286" t="s">
        <v>139</v>
      </c>
    </row>
    <row r="287" spans="1:10" x14ac:dyDescent="0.3">
      <c r="A287">
        <v>286</v>
      </c>
      <c r="B287" t="s">
        <v>37</v>
      </c>
      <c r="C287" s="1">
        <v>45380</v>
      </c>
      <c r="D287" t="s">
        <v>113</v>
      </c>
      <c r="E287" t="s">
        <v>118</v>
      </c>
      <c r="F287" t="s">
        <v>129</v>
      </c>
      <c r="G287">
        <v>7</v>
      </c>
      <c r="H287">
        <v>2860.85</v>
      </c>
      <c r="I287" s="2">
        <v>20025.95</v>
      </c>
      <c r="J287" t="s">
        <v>149</v>
      </c>
    </row>
    <row r="288" spans="1:10" x14ac:dyDescent="0.3">
      <c r="A288">
        <v>287</v>
      </c>
      <c r="B288" t="s">
        <v>35</v>
      </c>
      <c r="C288" s="1">
        <v>45384</v>
      </c>
      <c r="D288" t="s">
        <v>113</v>
      </c>
      <c r="E288" t="s">
        <v>118</v>
      </c>
      <c r="F288" t="s">
        <v>138</v>
      </c>
      <c r="G288">
        <v>1</v>
      </c>
      <c r="H288">
        <v>2277.66</v>
      </c>
      <c r="I288" s="2">
        <v>2277.66</v>
      </c>
      <c r="J288" t="s">
        <v>158</v>
      </c>
    </row>
    <row r="289" spans="1:10" x14ac:dyDescent="0.3">
      <c r="A289">
        <v>288</v>
      </c>
      <c r="B289" t="s">
        <v>59</v>
      </c>
      <c r="C289" s="1">
        <v>45558</v>
      </c>
      <c r="D289" t="s">
        <v>111</v>
      </c>
      <c r="E289" t="s">
        <v>116</v>
      </c>
      <c r="F289" t="s">
        <v>124</v>
      </c>
      <c r="G289">
        <v>9</v>
      </c>
      <c r="H289">
        <v>1960.95</v>
      </c>
      <c r="I289" s="2">
        <v>17648.55</v>
      </c>
      <c r="J289" t="s">
        <v>144</v>
      </c>
    </row>
    <row r="290" spans="1:10" x14ac:dyDescent="0.3">
      <c r="A290">
        <v>289</v>
      </c>
      <c r="B290" t="s">
        <v>48</v>
      </c>
      <c r="C290" s="1">
        <v>45408</v>
      </c>
      <c r="D290" t="s">
        <v>113</v>
      </c>
      <c r="E290" t="s">
        <v>116</v>
      </c>
      <c r="F290" t="s">
        <v>131</v>
      </c>
      <c r="G290">
        <v>5</v>
      </c>
      <c r="H290">
        <v>2054.23</v>
      </c>
      <c r="I290" s="2">
        <v>10271.15</v>
      </c>
      <c r="J290" t="s">
        <v>151</v>
      </c>
    </row>
    <row r="291" spans="1:10" x14ac:dyDescent="0.3">
      <c r="A291">
        <v>290</v>
      </c>
      <c r="B291" t="s">
        <v>28</v>
      </c>
      <c r="C291" s="1">
        <v>45591</v>
      </c>
      <c r="D291" t="s">
        <v>110</v>
      </c>
      <c r="E291" t="s">
        <v>115</v>
      </c>
      <c r="F291" t="s">
        <v>120</v>
      </c>
      <c r="G291">
        <v>7</v>
      </c>
      <c r="H291">
        <v>4083.63</v>
      </c>
      <c r="I291" s="2">
        <v>28585.41</v>
      </c>
      <c r="J291" t="s">
        <v>140</v>
      </c>
    </row>
    <row r="292" spans="1:10" x14ac:dyDescent="0.3">
      <c r="A292">
        <v>291</v>
      </c>
      <c r="B292" t="s">
        <v>71</v>
      </c>
      <c r="C292" s="1">
        <v>45312</v>
      </c>
      <c r="D292" t="s">
        <v>111</v>
      </c>
      <c r="E292" t="s">
        <v>115</v>
      </c>
      <c r="F292" t="s">
        <v>123</v>
      </c>
      <c r="G292">
        <v>5</v>
      </c>
      <c r="H292">
        <v>4500.3500000000004</v>
      </c>
      <c r="I292" s="2">
        <v>22501.75</v>
      </c>
      <c r="J292" t="s">
        <v>143</v>
      </c>
    </row>
    <row r="293" spans="1:10" x14ac:dyDescent="0.3">
      <c r="A293">
        <v>292</v>
      </c>
      <c r="B293" t="s">
        <v>29</v>
      </c>
      <c r="C293" s="1">
        <v>45583</v>
      </c>
      <c r="D293" t="s">
        <v>111</v>
      </c>
      <c r="E293" t="s">
        <v>115</v>
      </c>
      <c r="F293" t="s">
        <v>123</v>
      </c>
      <c r="G293">
        <v>4</v>
      </c>
      <c r="H293">
        <v>4678.74</v>
      </c>
      <c r="I293" s="2">
        <v>18714.96</v>
      </c>
      <c r="J293" t="s">
        <v>143</v>
      </c>
    </row>
    <row r="294" spans="1:10" x14ac:dyDescent="0.3">
      <c r="A294">
        <v>293</v>
      </c>
      <c r="B294" t="s">
        <v>46</v>
      </c>
      <c r="C294" s="1">
        <v>45566</v>
      </c>
      <c r="D294" t="s">
        <v>112</v>
      </c>
      <c r="E294" t="s">
        <v>114</v>
      </c>
      <c r="F294" t="s">
        <v>132</v>
      </c>
      <c r="G294">
        <v>5</v>
      </c>
      <c r="H294">
        <v>1495.88</v>
      </c>
      <c r="I294" s="2">
        <v>7479.4</v>
      </c>
      <c r="J294" t="s">
        <v>152</v>
      </c>
    </row>
    <row r="295" spans="1:10" x14ac:dyDescent="0.3">
      <c r="A295">
        <v>294</v>
      </c>
      <c r="B295" t="s">
        <v>90</v>
      </c>
      <c r="C295" s="1">
        <v>45448</v>
      </c>
      <c r="D295" t="s">
        <v>111</v>
      </c>
      <c r="E295" t="s">
        <v>117</v>
      </c>
      <c r="F295" t="s">
        <v>125</v>
      </c>
      <c r="G295">
        <v>8</v>
      </c>
      <c r="H295">
        <v>1625.41</v>
      </c>
      <c r="I295" s="2">
        <v>13003.28</v>
      </c>
      <c r="J295" t="s">
        <v>145</v>
      </c>
    </row>
    <row r="296" spans="1:10" x14ac:dyDescent="0.3">
      <c r="A296">
        <v>295</v>
      </c>
      <c r="B296" t="s">
        <v>61</v>
      </c>
      <c r="C296" s="1">
        <v>45449</v>
      </c>
      <c r="D296" t="s">
        <v>112</v>
      </c>
      <c r="E296" t="s">
        <v>116</v>
      </c>
      <c r="F296" t="s">
        <v>131</v>
      </c>
      <c r="G296">
        <v>4</v>
      </c>
      <c r="H296">
        <v>4133.55</v>
      </c>
      <c r="I296" s="2">
        <v>16534.2</v>
      </c>
      <c r="J296" t="s">
        <v>151</v>
      </c>
    </row>
    <row r="297" spans="1:10" x14ac:dyDescent="0.3">
      <c r="A297">
        <v>296</v>
      </c>
      <c r="B297" t="s">
        <v>70</v>
      </c>
      <c r="C297" s="1">
        <v>45554</v>
      </c>
      <c r="D297" t="s">
        <v>111</v>
      </c>
      <c r="E297" t="s">
        <v>117</v>
      </c>
      <c r="F297" t="s">
        <v>127</v>
      </c>
      <c r="G297">
        <v>7</v>
      </c>
      <c r="H297">
        <v>2673.3</v>
      </c>
      <c r="I297" s="2">
        <v>18713.099999999999</v>
      </c>
      <c r="J297" t="s">
        <v>147</v>
      </c>
    </row>
    <row r="298" spans="1:10" x14ac:dyDescent="0.3">
      <c r="A298">
        <v>297</v>
      </c>
      <c r="B298" t="s">
        <v>43</v>
      </c>
      <c r="C298" s="1">
        <v>45532</v>
      </c>
      <c r="D298" t="s">
        <v>112</v>
      </c>
      <c r="E298" t="s">
        <v>114</v>
      </c>
      <c r="F298" t="s">
        <v>121</v>
      </c>
      <c r="G298">
        <v>8</v>
      </c>
      <c r="H298">
        <v>4818.34</v>
      </c>
      <c r="I298" s="2">
        <v>38546.720000000001</v>
      </c>
      <c r="J298" t="s">
        <v>141</v>
      </c>
    </row>
    <row r="299" spans="1:10" x14ac:dyDescent="0.3">
      <c r="A299">
        <v>298</v>
      </c>
      <c r="B299" t="s">
        <v>78</v>
      </c>
      <c r="C299" s="1">
        <v>45554</v>
      </c>
      <c r="D299" t="s">
        <v>112</v>
      </c>
      <c r="E299" t="s">
        <v>118</v>
      </c>
      <c r="F299" t="s">
        <v>129</v>
      </c>
      <c r="G299">
        <v>8</v>
      </c>
      <c r="H299">
        <v>2679.85</v>
      </c>
      <c r="I299" s="2">
        <v>21438.799999999999</v>
      </c>
      <c r="J299" t="s">
        <v>149</v>
      </c>
    </row>
    <row r="300" spans="1:10" x14ac:dyDescent="0.3">
      <c r="A300">
        <v>299</v>
      </c>
      <c r="B300" t="s">
        <v>100</v>
      </c>
      <c r="C300" s="1">
        <v>45432</v>
      </c>
      <c r="D300" t="s">
        <v>111</v>
      </c>
      <c r="E300" t="s">
        <v>114</v>
      </c>
      <c r="F300" t="s">
        <v>121</v>
      </c>
      <c r="G300">
        <v>9</v>
      </c>
      <c r="H300">
        <v>3989.34</v>
      </c>
      <c r="I300" s="2">
        <v>35904.06</v>
      </c>
      <c r="J300" t="s">
        <v>141</v>
      </c>
    </row>
    <row r="301" spans="1:10" x14ac:dyDescent="0.3">
      <c r="A301">
        <v>300</v>
      </c>
      <c r="B301" t="s">
        <v>95</v>
      </c>
      <c r="C301" s="1">
        <v>45301</v>
      </c>
      <c r="D301" t="s">
        <v>110</v>
      </c>
      <c r="E301" t="s">
        <v>116</v>
      </c>
      <c r="F301" t="s">
        <v>131</v>
      </c>
      <c r="G301">
        <v>8</v>
      </c>
      <c r="H301">
        <v>3872.73</v>
      </c>
      <c r="I301" s="2">
        <v>30981.84</v>
      </c>
      <c r="J301" t="s">
        <v>151</v>
      </c>
    </row>
    <row r="302" spans="1:10" x14ac:dyDescent="0.3">
      <c r="A302">
        <v>301</v>
      </c>
      <c r="B302" t="s">
        <v>81</v>
      </c>
      <c r="C302" s="1">
        <v>45445</v>
      </c>
      <c r="D302" t="s">
        <v>111</v>
      </c>
      <c r="E302" t="s">
        <v>114</v>
      </c>
      <c r="F302" t="s">
        <v>132</v>
      </c>
      <c r="G302">
        <v>2</v>
      </c>
      <c r="H302">
        <v>3686.59</v>
      </c>
      <c r="I302" s="2">
        <v>7373.18</v>
      </c>
      <c r="J302" t="s">
        <v>152</v>
      </c>
    </row>
    <row r="303" spans="1:10" x14ac:dyDescent="0.3">
      <c r="A303">
        <v>302</v>
      </c>
      <c r="B303" t="s">
        <v>89</v>
      </c>
      <c r="C303" s="1">
        <v>45351</v>
      </c>
      <c r="D303" t="s">
        <v>111</v>
      </c>
      <c r="E303" t="s">
        <v>116</v>
      </c>
      <c r="F303" t="s">
        <v>131</v>
      </c>
      <c r="G303">
        <v>2</v>
      </c>
      <c r="H303">
        <v>3856.62</v>
      </c>
      <c r="I303" s="2">
        <v>7713.24</v>
      </c>
      <c r="J303" t="s">
        <v>151</v>
      </c>
    </row>
    <row r="304" spans="1:10" x14ac:dyDescent="0.3">
      <c r="A304">
        <v>303</v>
      </c>
      <c r="B304" t="s">
        <v>64</v>
      </c>
      <c r="C304" s="1">
        <v>45533</v>
      </c>
      <c r="D304" t="s">
        <v>113</v>
      </c>
      <c r="E304" t="s">
        <v>118</v>
      </c>
      <c r="F304" t="s">
        <v>134</v>
      </c>
      <c r="G304">
        <v>2</v>
      </c>
      <c r="H304">
        <v>2417.17</v>
      </c>
      <c r="I304" s="2">
        <v>4834.34</v>
      </c>
      <c r="J304" t="s">
        <v>154</v>
      </c>
    </row>
    <row r="305" spans="1:10" x14ac:dyDescent="0.3">
      <c r="A305">
        <v>304</v>
      </c>
      <c r="B305" t="s">
        <v>77</v>
      </c>
      <c r="C305" s="1">
        <v>45441</v>
      </c>
      <c r="D305" t="s">
        <v>110</v>
      </c>
      <c r="E305" t="s">
        <v>114</v>
      </c>
      <c r="F305" t="s">
        <v>119</v>
      </c>
      <c r="G305">
        <v>3</v>
      </c>
      <c r="H305">
        <v>3074.76</v>
      </c>
      <c r="I305" s="2">
        <v>9224.2800000000007</v>
      </c>
      <c r="J305" t="s">
        <v>139</v>
      </c>
    </row>
    <row r="306" spans="1:10" x14ac:dyDescent="0.3">
      <c r="A306">
        <v>305</v>
      </c>
      <c r="B306" t="s">
        <v>16</v>
      </c>
      <c r="C306" s="1">
        <v>45302</v>
      </c>
      <c r="D306" t="s">
        <v>112</v>
      </c>
      <c r="E306" t="s">
        <v>118</v>
      </c>
      <c r="F306" t="s">
        <v>137</v>
      </c>
      <c r="G306">
        <v>9</v>
      </c>
      <c r="H306">
        <v>2534.16</v>
      </c>
      <c r="I306" s="2">
        <v>22807.439999999999</v>
      </c>
      <c r="J306" t="s">
        <v>157</v>
      </c>
    </row>
    <row r="307" spans="1:10" x14ac:dyDescent="0.3">
      <c r="A307">
        <v>306</v>
      </c>
      <c r="B307" t="s">
        <v>38</v>
      </c>
      <c r="C307" s="1">
        <v>45582</v>
      </c>
      <c r="D307" t="s">
        <v>111</v>
      </c>
      <c r="E307" t="s">
        <v>114</v>
      </c>
      <c r="F307" t="s">
        <v>121</v>
      </c>
      <c r="G307">
        <v>3</v>
      </c>
      <c r="H307">
        <v>2269.31</v>
      </c>
      <c r="I307" s="2">
        <v>6807.93</v>
      </c>
      <c r="J307" t="s">
        <v>141</v>
      </c>
    </row>
    <row r="308" spans="1:10" x14ac:dyDescent="0.3">
      <c r="A308">
        <v>307</v>
      </c>
      <c r="B308" t="s">
        <v>94</v>
      </c>
      <c r="C308" s="1">
        <v>45532</v>
      </c>
      <c r="D308" t="s">
        <v>111</v>
      </c>
      <c r="E308" t="s">
        <v>117</v>
      </c>
      <c r="F308" t="s">
        <v>127</v>
      </c>
      <c r="G308">
        <v>3</v>
      </c>
      <c r="H308">
        <v>3055.78</v>
      </c>
      <c r="I308" s="2">
        <v>9167.34</v>
      </c>
      <c r="J308" t="s">
        <v>147</v>
      </c>
    </row>
    <row r="309" spans="1:10" x14ac:dyDescent="0.3">
      <c r="A309">
        <v>308</v>
      </c>
      <c r="B309" t="s">
        <v>84</v>
      </c>
      <c r="C309" s="1">
        <v>45579</v>
      </c>
      <c r="D309" t="s">
        <v>111</v>
      </c>
      <c r="E309" t="s">
        <v>114</v>
      </c>
      <c r="F309" t="s">
        <v>121</v>
      </c>
      <c r="G309">
        <v>4</v>
      </c>
      <c r="H309">
        <v>519.73</v>
      </c>
      <c r="I309" s="2">
        <v>2078.92</v>
      </c>
      <c r="J309" t="s">
        <v>141</v>
      </c>
    </row>
    <row r="310" spans="1:10" x14ac:dyDescent="0.3">
      <c r="A310">
        <v>309</v>
      </c>
      <c r="B310" t="s">
        <v>101</v>
      </c>
      <c r="C310" s="1">
        <v>45455</v>
      </c>
      <c r="D310" t="s">
        <v>111</v>
      </c>
      <c r="E310" t="s">
        <v>118</v>
      </c>
      <c r="F310" t="s">
        <v>129</v>
      </c>
      <c r="G310">
        <v>1</v>
      </c>
      <c r="H310">
        <v>1210.6199999999999</v>
      </c>
      <c r="I310" s="2">
        <v>1210.6199999999999</v>
      </c>
      <c r="J310" t="s">
        <v>149</v>
      </c>
    </row>
    <row r="311" spans="1:10" x14ac:dyDescent="0.3">
      <c r="A311">
        <v>310</v>
      </c>
      <c r="B311" t="s">
        <v>32</v>
      </c>
      <c r="C311" s="1">
        <v>45487</v>
      </c>
      <c r="D311" t="s">
        <v>113</v>
      </c>
      <c r="E311" t="s">
        <v>118</v>
      </c>
      <c r="F311" t="s">
        <v>129</v>
      </c>
      <c r="G311">
        <v>2</v>
      </c>
      <c r="H311">
        <v>3381.05</v>
      </c>
      <c r="I311" s="2">
        <v>6762.1</v>
      </c>
      <c r="J311" t="s">
        <v>149</v>
      </c>
    </row>
    <row r="312" spans="1:10" x14ac:dyDescent="0.3">
      <c r="A312">
        <v>311</v>
      </c>
      <c r="B312" t="s">
        <v>50</v>
      </c>
      <c r="C312" s="1">
        <v>45318</v>
      </c>
      <c r="D312" t="s">
        <v>110</v>
      </c>
      <c r="E312" t="s">
        <v>114</v>
      </c>
      <c r="F312" t="s">
        <v>132</v>
      </c>
      <c r="G312">
        <v>6</v>
      </c>
      <c r="H312">
        <v>3004.78</v>
      </c>
      <c r="I312" s="2">
        <v>18028.68</v>
      </c>
      <c r="J312" t="s">
        <v>152</v>
      </c>
    </row>
    <row r="313" spans="1:10" x14ac:dyDescent="0.3">
      <c r="A313">
        <v>312</v>
      </c>
      <c r="B313" t="s">
        <v>34</v>
      </c>
      <c r="C313" s="1">
        <v>45591</v>
      </c>
      <c r="D313" t="s">
        <v>113</v>
      </c>
      <c r="E313" t="s">
        <v>116</v>
      </c>
      <c r="F313" t="s">
        <v>136</v>
      </c>
      <c r="G313">
        <v>6</v>
      </c>
      <c r="H313">
        <v>3380.49</v>
      </c>
      <c r="I313" s="2">
        <v>20282.939999999999</v>
      </c>
      <c r="J313" t="s">
        <v>156</v>
      </c>
    </row>
    <row r="314" spans="1:10" x14ac:dyDescent="0.3">
      <c r="A314">
        <v>313</v>
      </c>
      <c r="B314" t="s">
        <v>44</v>
      </c>
      <c r="C314" s="1">
        <v>45463</v>
      </c>
      <c r="D314" t="s">
        <v>112</v>
      </c>
      <c r="E314" t="s">
        <v>118</v>
      </c>
      <c r="F314" t="s">
        <v>134</v>
      </c>
      <c r="G314">
        <v>2</v>
      </c>
      <c r="H314">
        <v>2287.13</v>
      </c>
      <c r="I314" s="2">
        <v>4574.26</v>
      </c>
      <c r="J314" t="s">
        <v>154</v>
      </c>
    </row>
    <row r="315" spans="1:10" x14ac:dyDescent="0.3">
      <c r="A315">
        <v>314</v>
      </c>
      <c r="B315" t="s">
        <v>39</v>
      </c>
      <c r="C315" s="1">
        <v>45441</v>
      </c>
      <c r="D315" t="s">
        <v>110</v>
      </c>
      <c r="E315" t="s">
        <v>116</v>
      </c>
      <c r="F315" t="s">
        <v>126</v>
      </c>
      <c r="G315">
        <v>5</v>
      </c>
      <c r="H315">
        <v>958.98</v>
      </c>
      <c r="I315" s="2">
        <v>4794.8999999999996</v>
      </c>
      <c r="J315" t="s">
        <v>146</v>
      </c>
    </row>
    <row r="316" spans="1:10" x14ac:dyDescent="0.3">
      <c r="A316">
        <v>315</v>
      </c>
      <c r="B316" t="s">
        <v>44</v>
      </c>
      <c r="C316" s="1">
        <v>45499</v>
      </c>
      <c r="D316" t="s">
        <v>112</v>
      </c>
      <c r="E316" t="s">
        <v>118</v>
      </c>
      <c r="F316" t="s">
        <v>134</v>
      </c>
      <c r="G316">
        <v>1</v>
      </c>
      <c r="H316">
        <v>1574.18</v>
      </c>
      <c r="I316" s="2">
        <v>1574.18</v>
      </c>
      <c r="J316" t="s">
        <v>154</v>
      </c>
    </row>
    <row r="317" spans="1:10" x14ac:dyDescent="0.3">
      <c r="A317">
        <v>316</v>
      </c>
      <c r="B317" t="s">
        <v>67</v>
      </c>
      <c r="C317" s="1">
        <v>45294</v>
      </c>
      <c r="D317" t="s">
        <v>110</v>
      </c>
      <c r="E317" t="s">
        <v>114</v>
      </c>
      <c r="F317" t="s">
        <v>119</v>
      </c>
      <c r="G317">
        <v>3</v>
      </c>
      <c r="H317">
        <v>846.84</v>
      </c>
      <c r="I317" s="2">
        <v>2540.52</v>
      </c>
      <c r="J317" t="s">
        <v>139</v>
      </c>
    </row>
    <row r="318" spans="1:10" x14ac:dyDescent="0.3">
      <c r="A318">
        <v>317</v>
      </c>
      <c r="B318" t="s">
        <v>104</v>
      </c>
      <c r="C318" s="1">
        <v>45539</v>
      </c>
      <c r="D318" t="s">
        <v>110</v>
      </c>
      <c r="E318" t="s">
        <v>118</v>
      </c>
      <c r="F318" t="s">
        <v>138</v>
      </c>
      <c r="G318">
        <v>5</v>
      </c>
      <c r="H318">
        <v>555.35</v>
      </c>
      <c r="I318" s="2">
        <v>2776.75</v>
      </c>
      <c r="J318" t="s">
        <v>158</v>
      </c>
    </row>
    <row r="319" spans="1:10" x14ac:dyDescent="0.3">
      <c r="A319">
        <v>318</v>
      </c>
      <c r="B319" t="s">
        <v>26</v>
      </c>
      <c r="C319" s="1">
        <v>45522</v>
      </c>
      <c r="D319" t="s">
        <v>110</v>
      </c>
      <c r="E319" t="s">
        <v>118</v>
      </c>
      <c r="F319" t="s">
        <v>138</v>
      </c>
      <c r="G319">
        <v>6</v>
      </c>
      <c r="H319">
        <v>880.59</v>
      </c>
      <c r="I319" s="2">
        <v>5283.54</v>
      </c>
      <c r="J319" t="s">
        <v>158</v>
      </c>
    </row>
    <row r="320" spans="1:10" x14ac:dyDescent="0.3">
      <c r="A320">
        <v>319</v>
      </c>
      <c r="B320" t="s">
        <v>16</v>
      </c>
      <c r="C320" s="1">
        <v>45583</v>
      </c>
      <c r="D320" t="s">
        <v>113</v>
      </c>
      <c r="E320" t="s">
        <v>116</v>
      </c>
      <c r="F320" t="s">
        <v>131</v>
      </c>
      <c r="G320">
        <v>2</v>
      </c>
      <c r="H320">
        <v>1966.46</v>
      </c>
      <c r="I320" s="2">
        <v>3932.92</v>
      </c>
      <c r="J320" t="s">
        <v>151</v>
      </c>
    </row>
    <row r="321" spans="1:10" x14ac:dyDescent="0.3">
      <c r="A321">
        <v>320</v>
      </c>
      <c r="B321" t="s">
        <v>65</v>
      </c>
      <c r="C321" s="1">
        <v>45540</v>
      </c>
      <c r="D321" t="s">
        <v>113</v>
      </c>
      <c r="E321" t="s">
        <v>118</v>
      </c>
      <c r="F321" t="s">
        <v>134</v>
      </c>
      <c r="G321">
        <v>3</v>
      </c>
      <c r="H321">
        <v>2045.21</v>
      </c>
      <c r="I321" s="2">
        <v>6135.63</v>
      </c>
      <c r="J321" t="s">
        <v>154</v>
      </c>
    </row>
    <row r="322" spans="1:10" x14ac:dyDescent="0.3">
      <c r="A322">
        <v>321</v>
      </c>
      <c r="B322" t="s">
        <v>28</v>
      </c>
      <c r="C322" s="1">
        <v>45445</v>
      </c>
      <c r="D322" t="s">
        <v>110</v>
      </c>
      <c r="E322" t="s">
        <v>116</v>
      </c>
      <c r="F322" t="s">
        <v>136</v>
      </c>
      <c r="G322">
        <v>6</v>
      </c>
      <c r="H322">
        <v>4605.0200000000004</v>
      </c>
      <c r="I322" s="2">
        <v>27630.12</v>
      </c>
      <c r="J322" t="s">
        <v>156</v>
      </c>
    </row>
    <row r="323" spans="1:10" x14ac:dyDescent="0.3">
      <c r="A323">
        <v>322</v>
      </c>
      <c r="B323" t="s">
        <v>95</v>
      </c>
      <c r="C323" s="1">
        <v>45434</v>
      </c>
      <c r="D323" t="s">
        <v>112</v>
      </c>
      <c r="E323" t="s">
        <v>117</v>
      </c>
      <c r="F323" t="s">
        <v>128</v>
      </c>
      <c r="G323">
        <v>4</v>
      </c>
      <c r="H323">
        <v>1121.7</v>
      </c>
      <c r="I323" s="2">
        <v>4486.8</v>
      </c>
      <c r="J323" t="s">
        <v>148</v>
      </c>
    </row>
    <row r="324" spans="1:10" x14ac:dyDescent="0.3">
      <c r="A324">
        <v>323</v>
      </c>
      <c r="B324" t="s">
        <v>57</v>
      </c>
      <c r="C324" s="1">
        <v>45333</v>
      </c>
      <c r="D324" t="s">
        <v>112</v>
      </c>
      <c r="E324" t="s">
        <v>116</v>
      </c>
      <c r="F324" t="s">
        <v>131</v>
      </c>
      <c r="G324">
        <v>3</v>
      </c>
      <c r="H324">
        <v>3404.09</v>
      </c>
      <c r="I324" s="2">
        <v>10212.27</v>
      </c>
      <c r="J324" t="s">
        <v>151</v>
      </c>
    </row>
    <row r="325" spans="1:10" x14ac:dyDescent="0.3">
      <c r="A325">
        <v>324</v>
      </c>
      <c r="B325" t="s">
        <v>25</v>
      </c>
      <c r="C325" s="1">
        <v>45425</v>
      </c>
      <c r="D325" t="s">
        <v>111</v>
      </c>
      <c r="E325" t="s">
        <v>117</v>
      </c>
      <c r="F325" t="s">
        <v>127</v>
      </c>
      <c r="G325">
        <v>9</v>
      </c>
      <c r="H325">
        <v>1680.39</v>
      </c>
      <c r="I325" s="2">
        <v>15123.51</v>
      </c>
      <c r="J325" t="s">
        <v>147</v>
      </c>
    </row>
    <row r="326" spans="1:10" x14ac:dyDescent="0.3">
      <c r="A326">
        <v>325</v>
      </c>
      <c r="B326" t="s">
        <v>42</v>
      </c>
      <c r="C326" s="1">
        <v>45357</v>
      </c>
      <c r="D326" t="s">
        <v>111</v>
      </c>
      <c r="E326" t="s">
        <v>116</v>
      </c>
      <c r="F326" t="s">
        <v>136</v>
      </c>
      <c r="G326">
        <v>2</v>
      </c>
      <c r="H326">
        <v>4790.88</v>
      </c>
      <c r="I326" s="2">
        <v>9581.76</v>
      </c>
      <c r="J326" t="s">
        <v>156</v>
      </c>
    </row>
    <row r="327" spans="1:10" x14ac:dyDescent="0.3">
      <c r="A327">
        <v>326</v>
      </c>
      <c r="B327" t="s">
        <v>23</v>
      </c>
      <c r="C327" s="1">
        <v>45547</v>
      </c>
      <c r="D327" t="s">
        <v>112</v>
      </c>
      <c r="E327" t="s">
        <v>118</v>
      </c>
      <c r="F327" t="s">
        <v>137</v>
      </c>
      <c r="G327">
        <v>9</v>
      </c>
      <c r="H327">
        <v>2448.84</v>
      </c>
      <c r="I327" s="2">
        <v>22039.56</v>
      </c>
      <c r="J327" t="s">
        <v>157</v>
      </c>
    </row>
    <row r="328" spans="1:10" x14ac:dyDescent="0.3">
      <c r="A328">
        <v>327</v>
      </c>
      <c r="B328" t="s">
        <v>27</v>
      </c>
      <c r="C328" s="1">
        <v>45455</v>
      </c>
      <c r="D328" t="s">
        <v>111</v>
      </c>
      <c r="E328" t="s">
        <v>118</v>
      </c>
      <c r="F328" t="s">
        <v>137</v>
      </c>
      <c r="G328">
        <v>6</v>
      </c>
      <c r="H328">
        <v>4163.7299999999996</v>
      </c>
      <c r="I328" s="2">
        <v>24982.38</v>
      </c>
      <c r="J328" t="s">
        <v>157</v>
      </c>
    </row>
    <row r="329" spans="1:10" x14ac:dyDescent="0.3">
      <c r="A329">
        <v>328</v>
      </c>
      <c r="B329" t="s">
        <v>43</v>
      </c>
      <c r="C329" s="1">
        <v>45316</v>
      </c>
      <c r="D329" t="s">
        <v>113</v>
      </c>
      <c r="E329" t="s">
        <v>114</v>
      </c>
      <c r="F329" t="s">
        <v>121</v>
      </c>
      <c r="G329">
        <v>8</v>
      </c>
      <c r="H329">
        <v>2443.35</v>
      </c>
      <c r="I329" s="2">
        <v>19546.8</v>
      </c>
      <c r="J329" t="s">
        <v>141</v>
      </c>
    </row>
    <row r="330" spans="1:10" x14ac:dyDescent="0.3">
      <c r="A330">
        <v>329</v>
      </c>
      <c r="B330" t="s">
        <v>49</v>
      </c>
      <c r="C330" s="1">
        <v>45316</v>
      </c>
      <c r="D330" t="s">
        <v>111</v>
      </c>
      <c r="E330" t="s">
        <v>117</v>
      </c>
      <c r="F330" t="s">
        <v>128</v>
      </c>
      <c r="G330">
        <v>4</v>
      </c>
      <c r="H330">
        <v>2253.61</v>
      </c>
      <c r="I330" s="2">
        <v>9014.44</v>
      </c>
      <c r="J330" t="s">
        <v>148</v>
      </c>
    </row>
    <row r="331" spans="1:10" x14ac:dyDescent="0.3">
      <c r="A331">
        <v>330</v>
      </c>
      <c r="B331" t="s">
        <v>10</v>
      </c>
      <c r="C331" s="1">
        <v>45451</v>
      </c>
      <c r="D331" t="s">
        <v>113</v>
      </c>
      <c r="E331" t="s">
        <v>115</v>
      </c>
      <c r="F331" t="s">
        <v>135</v>
      </c>
      <c r="G331">
        <v>2</v>
      </c>
      <c r="H331">
        <v>3285.99</v>
      </c>
      <c r="I331" s="2">
        <v>6571.98</v>
      </c>
      <c r="J331" t="s">
        <v>155</v>
      </c>
    </row>
    <row r="332" spans="1:10" x14ac:dyDescent="0.3">
      <c r="A332">
        <v>331</v>
      </c>
      <c r="B332" t="s">
        <v>16</v>
      </c>
      <c r="C332" s="1">
        <v>45578</v>
      </c>
      <c r="D332" t="s">
        <v>111</v>
      </c>
      <c r="E332" t="s">
        <v>114</v>
      </c>
      <c r="F332" t="s">
        <v>119</v>
      </c>
      <c r="G332">
        <v>2</v>
      </c>
      <c r="H332">
        <v>2353.02</v>
      </c>
      <c r="I332" s="2">
        <v>4706.04</v>
      </c>
      <c r="J332" t="s">
        <v>139</v>
      </c>
    </row>
    <row r="333" spans="1:10" x14ac:dyDescent="0.3">
      <c r="A333">
        <v>332</v>
      </c>
      <c r="B333" t="s">
        <v>34</v>
      </c>
      <c r="C333" s="1">
        <v>45558</v>
      </c>
      <c r="D333" t="s">
        <v>112</v>
      </c>
      <c r="E333" t="s">
        <v>114</v>
      </c>
      <c r="F333" t="s">
        <v>119</v>
      </c>
      <c r="G333">
        <v>8</v>
      </c>
      <c r="H333">
        <v>1557.04</v>
      </c>
      <c r="I333" s="2">
        <v>12456.32</v>
      </c>
      <c r="J333" t="s">
        <v>139</v>
      </c>
    </row>
    <row r="334" spans="1:10" x14ac:dyDescent="0.3">
      <c r="A334">
        <v>333</v>
      </c>
      <c r="B334" t="s">
        <v>63</v>
      </c>
      <c r="C334" s="1">
        <v>45374</v>
      </c>
      <c r="D334" t="s">
        <v>113</v>
      </c>
      <c r="E334" t="s">
        <v>115</v>
      </c>
      <c r="F334" t="s">
        <v>130</v>
      </c>
      <c r="G334">
        <v>9</v>
      </c>
      <c r="H334">
        <v>3935.21</v>
      </c>
      <c r="I334" s="2">
        <v>35416.89</v>
      </c>
      <c r="J334" t="s">
        <v>150</v>
      </c>
    </row>
    <row r="335" spans="1:10" x14ac:dyDescent="0.3">
      <c r="A335">
        <v>334</v>
      </c>
      <c r="B335" t="s">
        <v>91</v>
      </c>
      <c r="C335" s="1">
        <v>45371</v>
      </c>
      <c r="D335" t="s">
        <v>110</v>
      </c>
      <c r="E335" t="s">
        <v>117</v>
      </c>
      <c r="F335" t="s">
        <v>128</v>
      </c>
      <c r="G335">
        <v>4</v>
      </c>
      <c r="H335">
        <v>3202.63</v>
      </c>
      <c r="I335" s="2">
        <v>12810.52</v>
      </c>
      <c r="J335" t="s">
        <v>148</v>
      </c>
    </row>
    <row r="336" spans="1:10" x14ac:dyDescent="0.3">
      <c r="A336">
        <v>335</v>
      </c>
      <c r="B336" t="s">
        <v>12</v>
      </c>
      <c r="C336" s="1">
        <v>45564</v>
      </c>
      <c r="D336" t="s">
        <v>113</v>
      </c>
      <c r="E336" t="s">
        <v>117</v>
      </c>
      <c r="F336" t="s">
        <v>133</v>
      </c>
      <c r="G336">
        <v>4</v>
      </c>
      <c r="H336">
        <v>3313.05</v>
      </c>
      <c r="I336" s="2">
        <v>13252.2</v>
      </c>
      <c r="J336" t="s">
        <v>153</v>
      </c>
    </row>
    <row r="337" spans="1:10" x14ac:dyDescent="0.3">
      <c r="A337">
        <v>336</v>
      </c>
      <c r="B337" t="s">
        <v>60</v>
      </c>
      <c r="C337" s="1">
        <v>45522</v>
      </c>
      <c r="D337" t="s">
        <v>112</v>
      </c>
      <c r="E337" t="s">
        <v>114</v>
      </c>
      <c r="F337" t="s">
        <v>132</v>
      </c>
      <c r="G337">
        <v>3</v>
      </c>
      <c r="H337">
        <v>1902.02</v>
      </c>
      <c r="I337" s="2">
        <v>5706.06</v>
      </c>
      <c r="J337" t="s">
        <v>152</v>
      </c>
    </row>
    <row r="338" spans="1:10" x14ac:dyDescent="0.3">
      <c r="A338">
        <v>337</v>
      </c>
      <c r="B338" t="s">
        <v>105</v>
      </c>
      <c r="C338" s="1">
        <v>45305</v>
      </c>
      <c r="D338" t="s">
        <v>111</v>
      </c>
      <c r="E338" t="s">
        <v>114</v>
      </c>
      <c r="F338" t="s">
        <v>122</v>
      </c>
      <c r="G338">
        <v>6</v>
      </c>
      <c r="H338">
        <v>4822.7299999999996</v>
      </c>
      <c r="I338" s="2">
        <v>28936.38</v>
      </c>
      <c r="J338" t="s">
        <v>142</v>
      </c>
    </row>
    <row r="339" spans="1:10" x14ac:dyDescent="0.3">
      <c r="A339">
        <v>338</v>
      </c>
      <c r="B339" t="s">
        <v>106</v>
      </c>
      <c r="C339" s="1">
        <v>45353</v>
      </c>
      <c r="D339" t="s">
        <v>111</v>
      </c>
      <c r="E339" t="s">
        <v>114</v>
      </c>
      <c r="F339" t="s">
        <v>121</v>
      </c>
      <c r="G339">
        <v>6</v>
      </c>
      <c r="H339">
        <v>1373.08</v>
      </c>
      <c r="I339" s="2">
        <v>8238.48</v>
      </c>
      <c r="J339" t="s">
        <v>141</v>
      </c>
    </row>
    <row r="340" spans="1:10" x14ac:dyDescent="0.3">
      <c r="A340">
        <v>339</v>
      </c>
      <c r="B340" t="s">
        <v>55</v>
      </c>
      <c r="C340" s="1">
        <v>45356</v>
      </c>
      <c r="D340" t="s">
        <v>113</v>
      </c>
      <c r="E340" t="s">
        <v>114</v>
      </c>
      <c r="F340" t="s">
        <v>121</v>
      </c>
      <c r="G340">
        <v>2</v>
      </c>
      <c r="H340">
        <v>3183.56</v>
      </c>
      <c r="I340" s="2">
        <v>6367.12</v>
      </c>
      <c r="J340" t="s">
        <v>141</v>
      </c>
    </row>
    <row r="341" spans="1:10" x14ac:dyDescent="0.3">
      <c r="A341">
        <v>340</v>
      </c>
      <c r="B341" t="s">
        <v>93</v>
      </c>
      <c r="C341" s="1">
        <v>45464</v>
      </c>
      <c r="D341" t="s">
        <v>110</v>
      </c>
      <c r="E341" t="s">
        <v>117</v>
      </c>
      <c r="F341" t="s">
        <v>128</v>
      </c>
      <c r="G341">
        <v>3</v>
      </c>
      <c r="H341">
        <v>1402.67</v>
      </c>
      <c r="I341" s="2">
        <v>4208.01</v>
      </c>
      <c r="J341" t="s">
        <v>148</v>
      </c>
    </row>
    <row r="342" spans="1:10" x14ac:dyDescent="0.3">
      <c r="A342">
        <v>341</v>
      </c>
      <c r="B342" t="s">
        <v>43</v>
      </c>
      <c r="C342" s="1">
        <v>45482</v>
      </c>
      <c r="D342" t="s">
        <v>113</v>
      </c>
      <c r="E342" t="s">
        <v>117</v>
      </c>
      <c r="F342" t="s">
        <v>133</v>
      </c>
      <c r="G342">
        <v>7</v>
      </c>
      <c r="H342">
        <v>831.27</v>
      </c>
      <c r="I342" s="2">
        <v>5818.89</v>
      </c>
      <c r="J342" t="s">
        <v>153</v>
      </c>
    </row>
    <row r="343" spans="1:10" x14ac:dyDescent="0.3">
      <c r="A343">
        <v>342</v>
      </c>
      <c r="B343" t="s">
        <v>97</v>
      </c>
      <c r="C343" s="1">
        <v>45325</v>
      </c>
      <c r="D343" t="s">
        <v>110</v>
      </c>
      <c r="E343" t="s">
        <v>117</v>
      </c>
      <c r="F343" t="s">
        <v>127</v>
      </c>
      <c r="G343">
        <v>8</v>
      </c>
      <c r="H343">
        <v>4072.36</v>
      </c>
      <c r="I343" s="2">
        <v>32578.880000000001</v>
      </c>
      <c r="J343" t="s">
        <v>147</v>
      </c>
    </row>
    <row r="344" spans="1:10" x14ac:dyDescent="0.3">
      <c r="A344">
        <v>343</v>
      </c>
      <c r="B344" t="s">
        <v>80</v>
      </c>
      <c r="C344" s="1">
        <v>45333</v>
      </c>
      <c r="D344" t="s">
        <v>113</v>
      </c>
      <c r="E344" t="s">
        <v>116</v>
      </c>
      <c r="F344" t="s">
        <v>131</v>
      </c>
      <c r="G344">
        <v>1</v>
      </c>
      <c r="H344">
        <v>4781.1400000000003</v>
      </c>
      <c r="I344" s="2">
        <v>4781.1400000000003</v>
      </c>
      <c r="J344" t="s">
        <v>151</v>
      </c>
    </row>
    <row r="345" spans="1:10" x14ac:dyDescent="0.3">
      <c r="A345">
        <v>344</v>
      </c>
      <c r="B345" t="s">
        <v>75</v>
      </c>
      <c r="C345" s="1">
        <v>45411</v>
      </c>
      <c r="D345" t="s">
        <v>113</v>
      </c>
      <c r="E345" t="s">
        <v>118</v>
      </c>
      <c r="F345" t="s">
        <v>138</v>
      </c>
      <c r="G345">
        <v>2</v>
      </c>
      <c r="H345">
        <v>2244.2600000000002</v>
      </c>
      <c r="I345" s="2">
        <v>4488.5200000000004</v>
      </c>
      <c r="J345" t="s">
        <v>158</v>
      </c>
    </row>
    <row r="346" spans="1:10" x14ac:dyDescent="0.3">
      <c r="A346">
        <v>345</v>
      </c>
      <c r="B346" t="s">
        <v>86</v>
      </c>
      <c r="C346" s="1">
        <v>45388</v>
      </c>
      <c r="D346" t="s">
        <v>112</v>
      </c>
      <c r="E346" t="s">
        <v>116</v>
      </c>
      <c r="F346" t="s">
        <v>124</v>
      </c>
      <c r="G346">
        <v>8</v>
      </c>
      <c r="H346">
        <v>2361.2399999999998</v>
      </c>
      <c r="I346" s="2">
        <v>18889.919999999998</v>
      </c>
      <c r="J346" t="s">
        <v>144</v>
      </c>
    </row>
    <row r="347" spans="1:10" x14ac:dyDescent="0.3">
      <c r="A347">
        <v>346</v>
      </c>
      <c r="B347" t="s">
        <v>80</v>
      </c>
      <c r="C347" s="1">
        <v>45538</v>
      </c>
      <c r="D347" t="s">
        <v>112</v>
      </c>
      <c r="E347" t="s">
        <v>115</v>
      </c>
      <c r="F347" t="s">
        <v>135</v>
      </c>
      <c r="G347">
        <v>8</v>
      </c>
      <c r="H347">
        <v>1212.1300000000001</v>
      </c>
      <c r="I347" s="2">
        <v>9697.0400000000009</v>
      </c>
      <c r="J347" t="s">
        <v>155</v>
      </c>
    </row>
    <row r="348" spans="1:10" x14ac:dyDescent="0.3">
      <c r="A348">
        <v>347</v>
      </c>
      <c r="B348" t="s">
        <v>44</v>
      </c>
      <c r="C348" s="1">
        <v>45464</v>
      </c>
      <c r="D348" t="s">
        <v>111</v>
      </c>
      <c r="E348" t="s">
        <v>114</v>
      </c>
      <c r="F348" t="s">
        <v>132</v>
      </c>
      <c r="G348">
        <v>1</v>
      </c>
      <c r="H348">
        <v>2272.04</v>
      </c>
      <c r="I348" s="2">
        <v>2272.04</v>
      </c>
      <c r="J348" t="s">
        <v>152</v>
      </c>
    </row>
    <row r="349" spans="1:10" x14ac:dyDescent="0.3">
      <c r="A349">
        <v>348</v>
      </c>
      <c r="B349" t="s">
        <v>11</v>
      </c>
      <c r="C349" s="1">
        <v>45491</v>
      </c>
      <c r="D349" t="s">
        <v>113</v>
      </c>
      <c r="E349" t="s">
        <v>115</v>
      </c>
      <c r="F349" t="s">
        <v>130</v>
      </c>
      <c r="G349">
        <v>3</v>
      </c>
      <c r="H349">
        <v>449.16</v>
      </c>
      <c r="I349" s="2">
        <v>1347.48</v>
      </c>
      <c r="J349" t="s">
        <v>150</v>
      </c>
    </row>
    <row r="350" spans="1:10" x14ac:dyDescent="0.3">
      <c r="A350">
        <v>349</v>
      </c>
      <c r="B350" t="s">
        <v>81</v>
      </c>
      <c r="C350" s="1">
        <v>45308</v>
      </c>
      <c r="D350" t="s">
        <v>113</v>
      </c>
      <c r="E350" t="s">
        <v>117</v>
      </c>
      <c r="F350" t="s">
        <v>128</v>
      </c>
      <c r="G350">
        <v>8</v>
      </c>
      <c r="H350">
        <v>1830.93</v>
      </c>
      <c r="I350" s="2">
        <v>14647.44</v>
      </c>
      <c r="J350" t="s">
        <v>148</v>
      </c>
    </row>
    <row r="351" spans="1:10" x14ac:dyDescent="0.3">
      <c r="A351">
        <v>350</v>
      </c>
      <c r="B351" t="s">
        <v>74</v>
      </c>
      <c r="C351" s="1">
        <v>45430</v>
      </c>
      <c r="D351" t="s">
        <v>110</v>
      </c>
      <c r="E351" t="s">
        <v>115</v>
      </c>
      <c r="F351" t="s">
        <v>123</v>
      </c>
      <c r="G351">
        <v>3</v>
      </c>
      <c r="H351">
        <v>1007.46</v>
      </c>
      <c r="I351" s="2">
        <v>3022.38</v>
      </c>
      <c r="J351" t="s">
        <v>143</v>
      </c>
    </row>
    <row r="352" spans="1:10" x14ac:dyDescent="0.3">
      <c r="A352">
        <v>351</v>
      </c>
      <c r="B352" t="s">
        <v>71</v>
      </c>
      <c r="C352" s="1">
        <v>45552</v>
      </c>
      <c r="D352" t="s">
        <v>113</v>
      </c>
      <c r="E352" t="s">
        <v>116</v>
      </c>
      <c r="F352" t="s">
        <v>124</v>
      </c>
      <c r="G352">
        <v>1</v>
      </c>
      <c r="H352">
        <v>1547.68</v>
      </c>
      <c r="I352" s="2">
        <v>1547.68</v>
      </c>
      <c r="J352" t="s">
        <v>144</v>
      </c>
    </row>
    <row r="353" spans="1:10" x14ac:dyDescent="0.3">
      <c r="A353">
        <v>352</v>
      </c>
      <c r="B353" t="s">
        <v>20</v>
      </c>
      <c r="C353" s="1">
        <v>45340</v>
      </c>
      <c r="D353" t="s">
        <v>110</v>
      </c>
      <c r="E353" t="s">
        <v>117</v>
      </c>
      <c r="F353" t="s">
        <v>127</v>
      </c>
      <c r="G353">
        <v>9</v>
      </c>
      <c r="H353">
        <v>3255.13</v>
      </c>
      <c r="I353" s="2">
        <v>29296.17</v>
      </c>
      <c r="J353" t="s">
        <v>147</v>
      </c>
    </row>
    <row r="354" spans="1:10" x14ac:dyDescent="0.3">
      <c r="A354">
        <v>353</v>
      </c>
      <c r="B354" t="s">
        <v>16</v>
      </c>
      <c r="C354" s="1">
        <v>45546</v>
      </c>
      <c r="D354" t="s">
        <v>112</v>
      </c>
      <c r="E354" t="s">
        <v>116</v>
      </c>
      <c r="F354" t="s">
        <v>131</v>
      </c>
      <c r="G354">
        <v>4</v>
      </c>
      <c r="H354">
        <v>1534.83</v>
      </c>
      <c r="I354" s="2">
        <v>6139.32</v>
      </c>
      <c r="J354" t="s">
        <v>151</v>
      </c>
    </row>
    <row r="355" spans="1:10" x14ac:dyDescent="0.3">
      <c r="A355">
        <v>354</v>
      </c>
      <c r="B355" t="s">
        <v>105</v>
      </c>
      <c r="C355" s="1">
        <v>45560</v>
      </c>
      <c r="D355" t="s">
        <v>113</v>
      </c>
      <c r="E355" t="s">
        <v>117</v>
      </c>
      <c r="F355" t="s">
        <v>127</v>
      </c>
      <c r="G355">
        <v>1</v>
      </c>
      <c r="H355">
        <v>4647.6099999999997</v>
      </c>
      <c r="I355" s="2">
        <v>4647.6099999999997</v>
      </c>
      <c r="J355" t="s">
        <v>147</v>
      </c>
    </row>
    <row r="356" spans="1:10" x14ac:dyDescent="0.3">
      <c r="A356">
        <v>355</v>
      </c>
      <c r="B356" t="s">
        <v>57</v>
      </c>
      <c r="C356" s="1">
        <v>45444</v>
      </c>
      <c r="D356" t="s">
        <v>110</v>
      </c>
      <c r="E356" t="s">
        <v>115</v>
      </c>
      <c r="F356" t="s">
        <v>135</v>
      </c>
      <c r="G356">
        <v>9</v>
      </c>
      <c r="H356">
        <v>902.05</v>
      </c>
      <c r="I356" s="2">
        <v>8118.45</v>
      </c>
      <c r="J356" t="s">
        <v>155</v>
      </c>
    </row>
    <row r="357" spans="1:10" x14ac:dyDescent="0.3">
      <c r="A357">
        <v>356</v>
      </c>
      <c r="B357" t="s">
        <v>40</v>
      </c>
      <c r="C357" s="1">
        <v>45504</v>
      </c>
      <c r="D357" t="s">
        <v>110</v>
      </c>
      <c r="E357" t="s">
        <v>115</v>
      </c>
      <c r="F357" t="s">
        <v>135</v>
      </c>
      <c r="G357">
        <v>1</v>
      </c>
      <c r="H357">
        <v>3264.47</v>
      </c>
      <c r="I357" s="2">
        <v>3264.47</v>
      </c>
      <c r="J357" t="s">
        <v>155</v>
      </c>
    </row>
    <row r="358" spans="1:10" x14ac:dyDescent="0.3">
      <c r="A358">
        <v>357</v>
      </c>
      <c r="B358" t="s">
        <v>64</v>
      </c>
      <c r="C358" s="1">
        <v>45413</v>
      </c>
      <c r="D358" t="s">
        <v>110</v>
      </c>
      <c r="E358" t="s">
        <v>118</v>
      </c>
      <c r="F358" t="s">
        <v>129</v>
      </c>
      <c r="G358">
        <v>9</v>
      </c>
      <c r="H358">
        <v>2765.68</v>
      </c>
      <c r="I358" s="2">
        <v>24891.119999999999</v>
      </c>
      <c r="J358" t="s">
        <v>149</v>
      </c>
    </row>
    <row r="359" spans="1:10" x14ac:dyDescent="0.3">
      <c r="A359">
        <v>358</v>
      </c>
      <c r="B359" t="s">
        <v>13</v>
      </c>
      <c r="C359" s="1">
        <v>45440</v>
      </c>
      <c r="D359" t="s">
        <v>112</v>
      </c>
      <c r="E359" t="s">
        <v>117</v>
      </c>
      <c r="F359" t="s">
        <v>133</v>
      </c>
      <c r="G359">
        <v>6</v>
      </c>
      <c r="H359">
        <v>3790.62</v>
      </c>
      <c r="I359" s="2">
        <v>22743.72</v>
      </c>
      <c r="J359" t="s">
        <v>153</v>
      </c>
    </row>
    <row r="360" spans="1:10" x14ac:dyDescent="0.3">
      <c r="A360">
        <v>359</v>
      </c>
      <c r="B360" t="s">
        <v>72</v>
      </c>
      <c r="C360" s="1">
        <v>45313</v>
      </c>
      <c r="D360" t="s">
        <v>110</v>
      </c>
      <c r="E360" t="s">
        <v>114</v>
      </c>
      <c r="F360" t="s">
        <v>122</v>
      </c>
      <c r="G360">
        <v>2</v>
      </c>
      <c r="H360">
        <v>628.91999999999996</v>
      </c>
      <c r="I360" s="2">
        <v>1257.8399999999999</v>
      </c>
      <c r="J360" t="s">
        <v>142</v>
      </c>
    </row>
    <row r="361" spans="1:10" x14ac:dyDescent="0.3">
      <c r="A361">
        <v>360</v>
      </c>
      <c r="B361" t="s">
        <v>104</v>
      </c>
      <c r="C361" s="1">
        <v>45574</v>
      </c>
      <c r="D361" t="s">
        <v>112</v>
      </c>
      <c r="E361" t="s">
        <v>115</v>
      </c>
      <c r="F361" t="s">
        <v>123</v>
      </c>
      <c r="G361">
        <v>8</v>
      </c>
      <c r="H361">
        <v>1777.68</v>
      </c>
      <c r="I361" s="2">
        <v>14221.44</v>
      </c>
      <c r="J361" t="s">
        <v>143</v>
      </c>
    </row>
    <row r="362" spans="1:10" x14ac:dyDescent="0.3">
      <c r="A362">
        <v>361</v>
      </c>
      <c r="B362" t="s">
        <v>37</v>
      </c>
      <c r="C362" s="1">
        <v>45462</v>
      </c>
      <c r="D362" t="s">
        <v>113</v>
      </c>
      <c r="E362" t="s">
        <v>114</v>
      </c>
      <c r="F362" t="s">
        <v>122</v>
      </c>
      <c r="G362">
        <v>8</v>
      </c>
      <c r="H362">
        <v>3098.51</v>
      </c>
      <c r="I362" s="2">
        <v>24788.080000000002</v>
      </c>
      <c r="J362" t="s">
        <v>142</v>
      </c>
    </row>
    <row r="363" spans="1:10" x14ac:dyDescent="0.3">
      <c r="A363">
        <v>362</v>
      </c>
      <c r="B363" t="s">
        <v>44</v>
      </c>
      <c r="C363" s="1">
        <v>45314</v>
      </c>
      <c r="D363" t="s">
        <v>113</v>
      </c>
      <c r="E363" t="s">
        <v>117</v>
      </c>
      <c r="F363" t="s">
        <v>125</v>
      </c>
      <c r="G363">
        <v>9</v>
      </c>
      <c r="H363">
        <v>3829.5</v>
      </c>
      <c r="I363" s="2">
        <v>34465.5</v>
      </c>
      <c r="J363" t="s">
        <v>145</v>
      </c>
    </row>
    <row r="364" spans="1:10" x14ac:dyDescent="0.3">
      <c r="A364">
        <v>363</v>
      </c>
      <c r="B364" t="s">
        <v>62</v>
      </c>
      <c r="C364" s="1">
        <v>45477</v>
      </c>
      <c r="D364" t="s">
        <v>110</v>
      </c>
      <c r="E364" t="s">
        <v>118</v>
      </c>
      <c r="F364" t="s">
        <v>129</v>
      </c>
      <c r="G364">
        <v>5</v>
      </c>
      <c r="H364">
        <v>4419.1099999999997</v>
      </c>
      <c r="I364" s="2">
        <v>22095.55</v>
      </c>
      <c r="J364" t="s">
        <v>149</v>
      </c>
    </row>
    <row r="365" spans="1:10" x14ac:dyDescent="0.3">
      <c r="A365">
        <v>364</v>
      </c>
      <c r="B365" t="s">
        <v>51</v>
      </c>
      <c r="C365" s="1">
        <v>45395</v>
      </c>
      <c r="D365" t="s">
        <v>111</v>
      </c>
      <c r="E365" t="s">
        <v>116</v>
      </c>
      <c r="F365" t="s">
        <v>124</v>
      </c>
      <c r="G365">
        <v>9</v>
      </c>
      <c r="H365">
        <v>2819.92</v>
      </c>
      <c r="I365" s="2">
        <v>25379.279999999999</v>
      </c>
      <c r="J365" t="s">
        <v>144</v>
      </c>
    </row>
    <row r="366" spans="1:10" x14ac:dyDescent="0.3">
      <c r="A366">
        <v>365</v>
      </c>
      <c r="B366" t="s">
        <v>68</v>
      </c>
      <c r="C366" s="1">
        <v>45522</v>
      </c>
      <c r="D366" t="s">
        <v>111</v>
      </c>
      <c r="E366" t="s">
        <v>115</v>
      </c>
      <c r="F366" t="s">
        <v>135</v>
      </c>
      <c r="G366">
        <v>9</v>
      </c>
      <c r="H366">
        <v>1938.77</v>
      </c>
      <c r="I366" s="2">
        <v>17448.93</v>
      </c>
      <c r="J366" t="s">
        <v>155</v>
      </c>
    </row>
    <row r="367" spans="1:10" x14ac:dyDescent="0.3">
      <c r="A367">
        <v>366</v>
      </c>
      <c r="B367" t="s">
        <v>17</v>
      </c>
      <c r="C367" s="1">
        <v>45377</v>
      </c>
      <c r="D367" t="s">
        <v>112</v>
      </c>
      <c r="E367" t="s">
        <v>116</v>
      </c>
      <c r="F367" t="s">
        <v>124</v>
      </c>
      <c r="G367">
        <v>6</v>
      </c>
      <c r="H367">
        <v>4180.13</v>
      </c>
      <c r="I367" s="2">
        <v>25080.78</v>
      </c>
      <c r="J367" t="s">
        <v>144</v>
      </c>
    </row>
    <row r="368" spans="1:10" x14ac:dyDescent="0.3">
      <c r="A368">
        <v>367</v>
      </c>
      <c r="B368" t="s">
        <v>36</v>
      </c>
      <c r="C368" s="1">
        <v>45305</v>
      </c>
      <c r="D368" t="s">
        <v>113</v>
      </c>
      <c r="E368" t="s">
        <v>116</v>
      </c>
      <c r="F368" t="s">
        <v>131</v>
      </c>
      <c r="G368">
        <v>9</v>
      </c>
      <c r="H368">
        <v>3424.06</v>
      </c>
      <c r="I368" s="2">
        <v>30816.54</v>
      </c>
      <c r="J368" t="s">
        <v>151</v>
      </c>
    </row>
    <row r="369" spans="1:10" x14ac:dyDescent="0.3">
      <c r="A369">
        <v>368</v>
      </c>
      <c r="B369" t="s">
        <v>62</v>
      </c>
      <c r="C369" s="1">
        <v>45534</v>
      </c>
      <c r="D369" t="s">
        <v>111</v>
      </c>
      <c r="E369" t="s">
        <v>115</v>
      </c>
      <c r="F369" t="s">
        <v>130</v>
      </c>
      <c r="G369">
        <v>4</v>
      </c>
      <c r="H369">
        <v>1988.34</v>
      </c>
      <c r="I369" s="2">
        <v>7953.36</v>
      </c>
      <c r="J369" t="s">
        <v>150</v>
      </c>
    </row>
    <row r="370" spans="1:10" x14ac:dyDescent="0.3">
      <c r="A370">
        <v>369</v>
      </c>
      <c r="B370" t="s">
        <v>103</v>
      </c>
      <c r="C370" s="1">
        <v>45311</v>
      </c>
      <c r="D370" t="s">
        <v>112</v>
      </c>
      <c r="E370" t="s">
        <v>115</v>
      </c>
      <c r="F370" t="s">
        <v>135</v>
      </c>
      <c r="G370">
        <v>5</v>
      </c>
      <c r="H370">
        <v>3348.91</v>
      </c>
      <c r="I370" s="2">
        <v>16744.55</v>
      </c>
      <c r="J370" t="s">
        <v>155</v>
      </c>
    </row>
    <row r="371" spans="1:10" x14ac:dyDescent="0.3">
      <c r="A371">
        <v>370</v>
      </c>
      <c r="B371" t="s">
        <v>80</v>
      </c>
      <c r="C371" s="1">
        <v>45493</v>
      </c>
      <c r="D371" t="s">
        <v>112</v>
      </c>
      <c r="E371" t="s">
        <v>117</v>
      </c>
      <c r="F371" t="s">
        <v>133</v>
      </c>
      <c r="G371">
        <v>9</v>
      </c>
      <c r="H371">
        <v>1999.6</v>
      </c>
      <c r="I371" s="2">
        <v>17996.400000000001</v>
      </c>
      <c r="J371" t="s">
        <v>153</v>
      </c>
    </row>
    <row r="372" spans="1:10" x14ac:dyDescent="0.3">
      <c r="A372">
        <v>371</v>
      </c>
      <c r="B372" t="s">
        <v>96</v>
      </c>
      <c r="C372" s="1">
        <v>45410</v>
      </c>
      <c r="D372" t="s">
        <v>111</v>
      </c>
      <c r="E372" t="s">
        <v>117</v>
      </c>
      <c r="F372" t="s">
        <v>128</v>
      </c>
      <c r="G372">
        <v>3</v>
      </c>
      <c r="H372">
        <v>417.78</v>
      </c>
      <c r="I372" s="2">
        <v>1253.3399999999999</v>
      </c>
      <c r="J372" t="s">
        <v>148</v>
      </c>
    </row>
    <row r="373" spans="1:10" x14ac:dyDescent="0.3">
      <c r="A373">
        <v>372</v>
      </c>
      <c r="B373" t="s">
        <v>19</v>
      </c>
      <c r="C373" s="1">
        <v>45477</v>
      </c>
      <c r="D373" t="s">
        <v>111</v>
      </c>
      <c r="E373" t="s">
        <v>117</v>
      </c>
      <c r="F373" t="s">
        <v>133</v>
      </c>
      <c r="G373">
        <v>8</v>
      </c>
      <c r="H373">
        <v>3057.09</v>
      </c>
      <c r="I373" s="2">
        <v>24456.720000000001</v>
      </c>
      <c r="J373" t="s">
        <v>153</v>
      </c>
    </row>
    <row r="374" spans="1:10" x14ac:dyDescent="0.3">
      <c r="A374">
        <v>373</v>
      </c>
      <c r="B374" t="s">
        <v>10</v>
      </c>
      <c r="C374" s="1">
        <v>45449</v>
      </c>
      <c r="D374" t="s">
        <v>112</v>
      </c>
      <c r="E374" t="s">
        <v>115</v>
      </c>
      <c r="F374" t="s">
        <v>123</v>
      </c>
      <c r="G374">
        <v>3</v>
      </c>
      <c r="H374">
        <v>2541.4499999999998</v>
      </c>
      <c r="I374" s="2">
        <v>7624.35</v>
      </c>
      <c r="J374" t="s">
        <v>143</v>
      </c>
    </row>
    <row r="375" spans="1:10" x14ac:dyDescent="0.3">
      <c r="A375">
        <v>374</v>
      </c>
      <c r="B375" t="s">
        <v>81</v>
      </c>
      <c r="C375" s="1">
        <v>45443</v>
      </c>
      <c r="D375" t="s">
        <v>113</v>
      </c>
      <c r="E375" t="s">
        <v>117</v>
      </c>
      <c r="F375" t="s">
        <v>127</v>
      </c>
      <c r="G375">
        <v>6</v>
      </c>
      <c r="H375">
        <v>1128.23</v>
      </c>
      <c r="I375" s="2">
        <v>6769.38</v>
      </c>
      <c r="J375" t="s">
        <v>147</v>
      </c>
    </row>
    <row r="376" spans="1:10" x14ac:dyDescent="0.3">
      <c r="A376">
        <v>375</v>
      </c>
      <c r="B376" t="s">
        <v>84</v>
      </c>
      <c r="C376" s="1">
        <v>45483</v>
      </c>
      <c r="D376" t="s">
        <v>111</v>
      </c>
      <c r="E376" t="s">
        <v>114</v>
      </c>
      <c r="F376" t="s">
        <v>132</v>
      </c>
      <c r="G376">
        <v>7</v>
      </c>
      <c r="H376">
        <v>3703.98</v>
      </c>
      <c r="I376" s="2">
        <v>25927.86</v>
      </c>
      <c r="J376" t="s">
        <v>152</v>
      </c>
    </row>
    <row r="377" spans="1:10" x14ac:dyDescent="0.3">
      <c r="A377">
        <v>376</v>
      </c>
      <c r="B377" t="s">
        <v>21</v>
      </c>
      <c r="C377" s="1">
        <v>45437</v>
      </c>
      <c r="D377" t="s">
        <v>111</v>
      </c>
      <c r="E377" t="s">
        <v>117</v>
      </c>
      <c r="F377" t="s">
        <v>128</v>
      </c>
      <c r="G377">
        <v>9</v>
      </c>
      <c r="H377">
        <v>4672.26</v>
      </c>
      <c r="I377" s="2">
        <v>42050.34</v>
      </c>
      <c r="J377" t="s">
        <v>148</v>
      </c>
    </row>
    <row r="378" spans="1:10" x14ac:dyDescent="0.3">
      <c r="A378">
        <v>377</v>
      </c>
      <c r="B378" t="s">
        <v>86</v>
      </c>
      <c r="C378" s="1">
        <v>45452</v>
      </c>
      <c r="D378" t="s">
        <v>113</v>
      </c>
      <c r="E378" t="s">
        <v>117</v>
      </c>
      <c r="F378" t="s">
        <v>133</v>
      </c>
      <c r="G378">
        <v>6</v>
      </c>
      <c r="H378">
        <v>4956.5200000000004</v>
      </c>
      <c r="I378" s="2">
        <v>29739.119999999999</v>
      </c>
      <c r="J378" t="s">
        <v>153</v>
      </c>
    </row>
    <row r="379" spans="1:10" x14ac:dyDescent="0.3">
      <c r="A379">
        <v>378</v>
      </c>
      <c r="B379" t="s">
        <v>52</v>
      </c>
      <c r="C379" s="1">
        <v>45428</v>
      </c>
      <c r="D379" t="s">
        <v>112</v>
      </c>
      <c r="E379" t="s">
        <v>114</v>
      </c>
      <c r="F379" t="s">
        <v>122</v>
      </c>
      <c r="G379">
        <v>4</v>
      </c>
      <c r="H379">
        <v>1874.95</v>
      </c>
      <c r="I379" s="2">
        <v>7499.8</v>
      </c>
      <c r="J379" t="s">
        <v>142</v>
      </c>
    </row>
    <row r="380" spans="1:10" x14ac:dyDescent="0.3">
      <c r="A380">
        <v>379</v>
      </c>
      <c r="B380" t="s">
        <v>79</v>
      </c>
      <c r="C380" s="1">
        <v>45550</v>
      </c>
      <c r="D380" t="s">
        <v>113</v>
      </c>
      <c r="E380" t="s">
        <v>115</v>
      </c>
      <c r="F380" t="s">
        <v>130</v>
      </c>
      <c r="G380">
        <v>6</v>
      </c>
      <c r="H380">
        <v>1438.05</v>
      </c>
      <c r="I380" s="2">
        <v>8628.2999999999993</v>
      </c>
      <c r="J380" t="s">
        <v>150</v>
      </c>
    </row>
    <row r="381" spans="1:10" x14ac:dyDescent="0.3">
      <c r="A381">
        <v>380</v>
      </c>
      <c r="B381" t="s">
        <v>76</v>
      </c>
      <c r="C381" s="1">
        <v>45342</v>
      </c>
      <c r="D381" t="s">
        <v>113</v>
      </c>
      <c r="E381" t="s">
        <v>115</v>
      </c>
      <c r="F381" t="s">
        <v>135</v>
      </c>
      <c r="G381">
        <v>3</v>
      </c>
      <c r="H381">
        <v>2205.3200000000002</v>
      </c>
      <c r="I381" s="2">
        <v>6615.96</v>
      </c>
      <c r="J381" t="s">
        <v>155</v>
      </c>
    </row>
    <row r="382" spans="1:10" x14ac:dyDescent="0.3">
      <c r="A382">
        <v>381</v>
      </c>
      <c r="B382" t="s">
        <v>35</v>
      </c>
      <c r="C382" s="1">
        <v>45340</v>
      </c>
      <c r="D382" t="s">
        <v>113</v>
      </c>
      <c r="E382" t="s">
        <v>116</v>
      </c>
      <c r="F382" t="s">
        <v>126</v>
      </c>
      <c r="G382">
        <v>5</v>
      </c>
      <c r="H382">
        <v>3559.49</v>
      </c>
      <c r="I382" s="2">
        <v>17797.45</v>
      </c>
      <c r="J382" t="s">
        <v>146</v>
      </c>
    </row>
    <row r="383" spans="1:10" x14ac:dyDescent="0.3">
      <c r="A383">
        <v>382</v>
      </c>
      <c r="B383" t="s">
        <v>81</v>
      </c>
      <c r="C383" s="1">
        <v>45551</v>
      </c>
      <c r="D383" t="s">
        <v>112</v>
      </c>
      <c r="E383" t="s">
        <v>116</v>
      </c>
      <c r="F383" t="s">
        <v>136</v>
      </c>
      <c r="G383">
        <v>1</v>
      </c>
      <c r="H383">
        <v>3923.04</v>
      </c>
      <c r="I383" s="2">
        <v>3923.04</v>
      </c>
      <c r="J383" t="s">
        <v>156</v>
      </c>
    </row>
    <row r="384" spans="1:10" x14ac:dyDescent="0.3">
      <c r="A384">
        <v>383</v>
      </c>
      <c r="B384" t="s">
        <v>11</v>
      </c>
      <c r="C384" s="1">
        <v>45588</v>
      </c>
      <c r="D384" t="s">
        <v>112</v>
      </c>
      <c r="E384" t="s">
        <v>117</v>
      </c>
      <c r="F384" t="s">
        <v>133</v>
      </c>
      <c r="G384">
        <v>9</v>
      </c>
      <c r="H384">
        <v>3781.74</v>
      </c>
      <c r="I384" s="2">
        <v>34035.660000000003</v>
      </c>
      <c r="J384" t="s">
        <v>153</v>
      </c>
    </row>
    <row r="385" spans="1:10" x14ac:dyDescent="0.3">
      <c r="A385">
        <v>384</v>
      </c>
      <c r="B385" t="s">
        <v>25</v>
      </c>
      <c r="C385" s="1">
        <v>45327</v>
      </c>
      <c r="D385" t="s">
        <v>113</v>
      </c>
      <c r="E385" t="s">
        <v>117</v>
      </c>
      <c r="F385" t="s">
        <v>127</v>
      </c>
      <c r="G385">
        <v>6</v>
      </c>
      <c r="H385">
        <v>1382.36</v>
      </c>
      <c r="I385" s="2">
        <v>8294.16</v>
      </c>
      <c r="J385" t="s">
        <v>147</v>
      </c>
    </row>
    <row r="386" spans="1:10" x14ac:dyDescent="0.3">
      <c r="A386">
        <v>385</v>
      </c>
      <c r="B386" t="s">
        <v>13</v>
      </c>
      <c r="C386" s="1">
        <v>45511</v>
      </c>
      <c r="D386" t="s">
        <v>112</v>
      </c>
      <c r="E386" t="s">
        <v>116</v>
      </c>
      <c r="F386" t="s">
        <v>126</v>
      </c>
      <c r="G386">
        <v>6</v>
      </c>
      <c r="H386">
        <v>2201.5500000000002</v>
      </c>
      <c r="I386" s="2">
        <v>13209.3</v>
      </c>
      <c r="J386" t="s">
        <v>146</v>
      </c>
    </row>
    <row r="387" spans="1:10" x14ac:dyDescent="0.3">
      <c r="A387">
        <v>386</v>
      </c>
      <c r="B387" t="s">
        <v>41</v>
      </c>
      <c r="C387" s="1">
        <v>45496</v>
      </c>
      <c r="D387" t="s">
        <v>112</v>
      </c>
      <c r="E387" t="s">
        <v>117</v>
      </c>
      <c r="F387" t="s">
        <v>128</v>
      </c>
      <c r="G387">
        <v>4</v>
      </c>
      <c r="H387">
        <v>264.70999999999998</v>
      </c>
      <c r="I387" s="2">
        <v>1058.8399999999999</v>
      </c>
      <c r="J387" t="s">
        <v>148</v>
      </c>
    </row>
    <row r="388" spans="1:10" x14ac:dyDescent="0.3">
      <c r="A388">
        <v>387</v>
      </c>
      <c r="B388" t="s">
        <v>107</v>
      </c>
      <c r="C388" s="1">
        <v>45541</v>
      </c>
      <c r="D388" t="s">
        <v>111</v>
      </c>
      <c r="E388" t="s">
        <v>118</v>
      </c>
      <c r="F388" t="s">
        <v>138</v>
      </c>
      <c r="G388">
        <v>4</v>
      </c>
      <c r="H388">
        <v>1644.43</v>
      </c>
      <c r="I388" s="2">
        <v>6577.72</v>
      </c>
      <c r="J388" t="s">
        <v>158</v>
      </c>
    </row>
    <row r="389" spans="1:10" x14ac:dyDescent="0.3">
      <c r="A389">
        <v>388</v>
      </c>
      <c r="B389" t="s">
        <v>22</v>
      </c>
      <c r="C389" s="1">
        <v>45298</v>
      </c>
      <c r="D389" t="s">
        <v>112</v>
      </c>
      <c r="E389" t="s">
        <v>116</v>
      </c>
      <c r="F389" t="s">
        <v>126</v>
      </c>
      <c r="G389">
        <v>8</v>
      </c>
      <c r="H389">
        <v>2786.77</v>
      </c>
      <c r="I389" s="2">
        <v>22294.16</v>
      </c>
      <c r="J389" t="s">
        <v>146</v>
      </c>
    </row>
    <row r="390" spans="1:10" x14ac:dyDescent="0.3">
      <c r="A390">
        <v>389</v>
      </c>
      <c r="B390" t="s">
        <v>73</v>
      </c>
      <c r="C390" s="1">
        <v>45434</v>
      </c>
      <c r="D390" t="s">
        <v>110</v>
      </c>
      <c r="E390" t="s">
        <v>114</v>
      </c>
      <c r="F390" t="s">
        <v>121</v>
      </c>
      <c r="G390">
        <v>8</v>
      </c>
      <c r="H390">
        <v>1374.77</v>
      </c>
      <c r="I390" s="2">
        <v>10998.16</v>
      </c>
      <c r="J390" t="s">
        <v>141</v>
      </c>
    </row>
    <row r="391" spans="1:10" x14ac:dyDescent="0.3">
      <c r="A391">
        <v>390</v>
      </c>
      <c r="B391" t="s">
        <v>35</v>
      </c>
      <c r="C391" s="1">
        <v>45456</v>
      </c>
      <c r="D391" t="s">
        <v>112</v>
      </c>
      <c r="E391" t="s">
        <v>114</v>
      </c>
      <c r="F391" t="s">
        <v>121</v>
      </c>
      <c r="G391">
        <v>5</v>
      </c>
      <c r="H391">
        <v>3305.46</v>
      </c>
      <c r="I391" s="2">
        <v>16527.3</v>
      </c>
      <c r="J391" t="s">
        <v>141</v>
      </c>
    </row>
    <row r="392" spans="1:10" x14ac:dyDescent="0.3">
      <c r="A392">
        <v>391</v>
      </c>
      <c r="B392" t="s">
        <v>23</v>
      </c>
      <c r="C392" s="1">
        <v>45452</v>
      </c>
      <c r="D392" t="s">
        <v>112</v>
      </c>
      <c r="E392" t="s">
        <v>114</v>
      </c>
      <c r="F392" t="s">
        <v>132</v>
      </c>
      <c r="G392">
        <v>9</v>
      </c>
      <c r="H392">
        <v>4268.0200000000004</v>
      </c>
      <c r="I392" s="2">
        <v>38412.18</v>
      </c>
      <c r="J392" t="s">
        <v>152</v>
      </c>
    </row>
    <row r="393" spans="1:10" x14ac:dyDescent="0.3">
      <c r="A393">
        <v>392</v>
      </c>
      <c r="B393" t="s">
        <v>28</v>
      </c>
      <c r="C393" s="1">
        <v>45372</v>
      </c>
      <c r="D393" t="s">
        <v>110</v>
      </c>
      <c r="E393" t="s">
        <v>114</v>
      </c>
      <c r="F393" t="s">
        <v>122</v>
      </c>
      <c r="G393">
        <v>2</v>
      </c>
      <c r="H393">
        <v>2079.4899999999998</v>
      </c>
      <c r="I393" s="2">
        <v>4158.9799999999996</v>
      </c>
      <c r="J393" t="s">
        <v>142</v>
      </c>
    </row>
    <row r="394" spans="1:10" x14ac:dyDescent="0.3">
      <c r="A394">
        <v>393</v>
      </c>
      <c r="B394" t="s">
        <v>82</v>
      </c>
      <c r="C394" s="1">
        <v>45460</v>
      </c>
      <c r="D394" t="s">
        <v>111</v>
      </c>
      <c r="E394" t="s">
        <v>118</v>
      </c>
      <c r="F394" t="s">
        <v>138</v>
      </c>
      <c r="G394">
        <v>2</v>
      </c>
      <c r="H394">
        <v>500.45</v>
      </c>
      <c r="I394" s="2">
        <v>1000.9</v>
      </c>
      <c r="J394" t="s">
        <v>158</v>
      </c>
    </row>
    <row r="395" spans="1:10" x14ac:dyDescent="0.3">
      <c r="A395">
        <v>394</v>
      </c>
      <c r="B395" t="s">
        <v>73</v>
      </c>
      <c r="C395" s="1">
        <v>45389</v>
      </c>
      <c r="D395" t="s">
        <v>113</v>
      </c>
      <c r="E395" t="s">
        <v>116</v>
      </c>
      <c r="F395" t="s">
        <v>131</v>
      </c>
      <c r="G395">
        <v>5</v>
      </c>
      <c r="H395">
        <v>4733.92</v>
      </c>
      <c r="I395" s="2">
        <v>23669.599999999999</v>
      </c>
      <c r="J395" t="s">
        <v>151</v>
      </c>
    </row>
    <row r="396" spans="1:10" x14ac:dyDescent="0.3">
      <c r="A396">
        <v>395</v>
      </c>
      <c r="B396" t="s">
        <v>29</v>
      </c>
      <c r="C396" s="1">
        <v>45357</v>
      </c>
      <c r="D396" t="s">
        <v>112</v>
      </c>
      <c r="E396" t="s">
        <v>116</v>
      </c>
      <c r="F396" t="s">
        <v>126</v>
      </c>
      <c r="G396">
        <v>3</v>
      </c>
      <c r="H396">
        <v>3289.77</v>
      </c>
      <c r="I396" s="2">
        <v>9869.31</v>
      </c>
      <c r="J396" t="s">
        <v>146</v>
      </c>
    </row>
    <row r="397" spans="1:10" x14ac:dyDescent="0.3">
      <c r="A397">
        <v>396</v>
      </c>
      <c r="B397" t="s">
        <v>88</v>
      </c>
      <c r="C397" s="1">
        <v>45367</v>
      </c>
      <c r="D397" t="s">
        <v>110</v>
      </c>
      <c r="E397" t="s">
        <v>117</v>
      </c>
      <c r="F397" t="s">
        <v>125</v>
      </c>
      <c r="G397">
        <v>3</v>
      </c>
      <c r="H397">
        <v>354.59</v>
      </c>
      <c r="I397" s="2">
        <v>1063.77</v>
      </c>
      <c r="J397" t="s">
        <v>145</v>
      </c>
    </row>
    <row r="398" spans="1:10" x14ac:dyDescent="0.3">
      <c r="A398">
        <v>397</v>
      </c>
      <c r="B398" t="s">
        <v>29</v>
      </c>
      <c r="C398" s="1">
        <v>45340</v>
      </c>
      <c r="D398" t="s">
        <v>110</v>
      </c>
      <c r="E398" t="s">
        <v>114</v>
      </c>
      <c r="F398" t="s">
        <v>132</v>
      </c>
      <c r="G398">
        <v>4</v>
      </c>
      <c r="H398">
        <v>3808.08</v>
      </c>
      <c r="I398" s="2">
        <v>15232.32</v>
      </c>
      <c r="J398" t="s">
        <v>152</v>
      </c>
    </row>
    <row r="399" spans="1:10" x14ac:dyDescent="0.3">
      <c r="A399">
        <v>398</v>
      </c>
      <c r="B399" t="s">
        <v>26</v>
      </c>
      <c r="C399" s="1">
        <v>45434</v>
      </c>
      <c r="D399" t="s">
        <v>110</v>
      </c>
      <c r="E399" t="s">
        <v>114</v>
      </c>
      <c r="F399" t="s">
        <v>119</v>
      </c>
      <c r="G399">
        <v>6</v>
      </c>
      <c r="H399">
        <v>891.94</v>
      </c>
      <c r="I399" s="2">
        <v>5351.64</v>
      </c>
      <c r="J399" t="s">
        <v>139</v>
      </c>
    </row>
    <row r="400" spans="1:10" x14ac:dyDescent="0.3">
      <c r="A400">
        <v>399</v>
      </c>
      <c r="B400" t="s">
        <v>71</v>
      </c>
      <c r="C400" s="1">
        <v>45459</v>
      </c>
      <c r="D400" t="s">
        <v>112</v>
      </c>
      <c r="E400" t="s">
        <v>117</v>
      </c>
      <c r="F400" t="s">
        <v>127</v>
      </c>
      <c r="G400">
        <v>1</v>
      </c>
      <c r="H400">
        <v>233.12</v>
      </c>
      <c r="I400" s="2">
        <v>233.12</v>
      </c>
      <c r="J400" t="s">
        <v>147</v>
      </c>
    </row>
    <row r="401" spans="1:10" x14ac:dyDescent="0.3">
      <c r="A401">
        <v>400</v>
      </c>
      <c r="B401" t="s">
        <v>40</v>
      </c>
      <c r="C401" s="1">
        <v>45539</v>
      </c>
      <c r="D401" t="s">
        <v>112</v>
      </c>
      <c r="E401" t="s">
        <v>115</v>
      </c>
      <c r="F401" t="s">
        <v>120</v>
      </c>
      <c r="G401">
        <v>1</v>
      </c>
      <c r="H401">
        <v>2014.57</v>
      </c>
      <c r="I401" s="2">
        <v>2014.57</v>
      </c>
      <c r="J401" t="s">
        <v>140</v>
      </c>
    </row>
    <row r="402" spans="1:10" x14ac:dyDescent="0.3">
      <c r="A402">
        <v>401</v>
      </c>
      <c r="B402" t="s">
        <v>28</v>
      </c>
      <c r="C402" s="1">
        <v>45553</v>
      </c>
      <c r="D402" t="s">
        <v>111</v>
      </c>
      <c r="E402" t="s">
        <v>117</v>
      </c>
      <c r="F402" t="s">
        <v>125</v>
      </c>
      <c r="G402">
        <v>9</v>
      </c>
      <c r="H402">
        <v>2047.17</v>
      </c>
      <c r="I402" s="2">
        <v>18424.53</v>
      </c>
      <c r="J402" t="s">
        <v>145</v>
      </c>
    </row>
    <row r="403" spans="1:10" x14ac:dyDescent="0.3">
      <c r="A403">
        <v>402</v>
      </c>
      <c r="B403" t="s">
        <v>60</v>
      </c>
      <c r="C403" s="1">
        <v>45488</v>
      </c>
      <c r="D403" t="s">
        <v>111</v>
      </c>
      <c r="E403" t="s">
        <v>115</v>
      </c>
      <c r="F403" t="s">
        <v>120</v>
      </c>
      <c r="G403">
        <v>8</v>
      </c>
      <c r="H403">
        <v>1506.98</v>
      </c>
      <c r="I403" s="2">
        <v>12055.84</v>
      </c>
      <c r="J403" t="s">
        <v>140</v>
      </c>
    </row>
    <row r="404" spans="1:10" x14ac:dyDescent="0.3">
      <c r="A404">
        <v>403</v>
      </c>
      <c r="B404" t="s">
        <v>78</v>
      </c>
      <c r="C404" s="1">
        <v>45588</v>
      </c>
      <c r="D404" t="s">
        <v>110</v>
      </c>
      <c r="E404" t="s">
        <v>114</v>
      </c>
      <c r="F404" t="s">
        <v>122</v>
      </c>
      <c r="G404">
        <v>8</v>
      </c>
      <c r="H404">
        <v>4009.78</v>
      </c>
      <c r="I404" s="2">
        <v>32078.240000000002</v>
      </c>
      <c r="J404" t="s">
        <v>142</v>
      </c>
    </row>
    <row r="405" spans="1:10" x14ac:dyDescent="0.3">
      <c r="A405">
        <v>404</v>
      </c>
      <c r="B405" t="s">
        <v>16</v>
      </c>
      <c r="C405" s="1">
        <v>45529</v>
      </c>
      <c r="D405" t="s">
        <v>110</v>
      </c>
      <c r="E405" t="s">
        <v>116</v>
      </c>
      <c r="F405" t="s">
        <v>124</v>
      </c>
      <c r="G405">
        <v>4</v>
      </c>
      <c r="H405">
        <v>2833.32</v>
      </c>
      <c r="I405" s="2">
        <v>11333.28</v>
      </c>
      <c r="J405" t="s">
        <v>144</v>
      </c>
    </row>
    <row r="406" spans="1:10" x14ac:dyDescent="0.3">
      <c r="A406">
        <v>405</v>
      </c>
      <c r="B406" t="s">
        <v>91</v>
      </c>
      <c r="C406" s="1">
        <v>45554</v>
      </c>
      <c r="D406" t="s">
        <v>110</v>
      </c>
      <c r="E406" t="s">
        <v>115</v>
      </c>
      <c r="F406" t="s">
        <v>130</v>
      </c>
      <c r="G406">
        <v>3</v>
      </c>
      <c r="H406">
        <v>4496.21</v>
      </c>
      <c r="I406" s="2">
        <v>13488.63</v>
      </c>
      <c r="J406" t="s">
        <v>150</v>
      </c>
    </row>
    <row r="407" spans="1:10" x14ac:dyDescent="0.3">
      <c r="A407">
        <v>406</v>
      </c>
      <c r="B407" t="s">
        <v>82</v>
      </c>
      <c r="C407" s="1">
        <v>45511</v>
      </c>
      <c r="D407" t="s">
        <v>113</v>
      </c>
      <c r="E407" t="s">
        <v>114</v>
      </c>
      <c r="F407" t="s">
        <v>132</v>
      </c>
      <c r="G407">
        <v>5</v>
      </c>
      <c r="H407">
        <v>2257.58</v>
      </c>
      <c r="I407" s="2">
        <v>11287.9</v>
      </c>
      <c r="J407" t="s">
        <v>152</v>
      </c>
    </row>
    <row r="408" spans="1:10" x14ac:dyDescent="0.3">
      <c r="A408">
        <v>407</v>
      </c>
      <c r="B408" t="s">
        <v>88</v>
      </c>
      <c r="C408" s="1">
        <v>45537</v>
      </c>
      <c r="D408" t="s">
        <v>111</v>
      </c>
      <c r="E408" t="s">
        <v>118</v>
      </c>
      <c r="F408" t="s">
        <v>129</v>
      </c>
      <c r="G408">
        <v>7</v>
      </c>
      <c r="H408">
        <v>4838.92</v>
      </c>
      <c r="I408" s="2">
        <v>33872.44</v>
      </c>
      <c r="J408" t="s">
        <v>149</v>
      </c>
    </row>
    <row r="409" spans="1:10" x14ac:dyDescent="0.3">
      <c r="A409">
        <v>408</v>
      </c>
      <c r="B409" t="s">
        <v>66</v>
      </c>
      <c r="C409" s="1">
        <v>45400</v>
      </c>
      <c r="D409" t="s">
        <v>111</v>
      </c>
      <c r="E409" t="s">
        <v>114</v>
      </c>
      <c r="F409" t="s">
        <v>122</v>
      </c>
      <c r="G409">
        <v>2</v>
      </c>
      <c r="H409">
        <v>913.18</v>
      </c>
      <c r="I409" s="2">
        <v>1826.36</v>
      </c>
      <c r="J409" t="s">
        <v>142</v>
      </c>
    </row>
    <row r="410" spans="1:10" x14ac:dyDescent="0.3">
      <c r="A410">
        <v>409</v>
      </c>
      <c r="B410" t="s">
        <v>43</v>
      </c>
      <c r="C410" s="1">
        <v>45350</v>
      </c>
      <c r="D410" t="s">
        <v>111</v>
      </c>
      <c r="E410" t="s">
        <v>115</v>
      </c>
      <c r="F410" t="s">
        <v>130</v>
      </c>
      <c r="G410">
        <v>9</v>
      </c>
      <c r="H410">
        <v>555.85</v>
      </c>
      <c r="I410" s="2">
        <v>5002.6499999999996</v>
      </c>
      <c r="J410" t="s">
        <v>150</v>
      </c>
    </row>
    <row r="411" spans="1:10" x14ac:dyDescent="0.3">
      <c r="A411">
        <v>410</v>
      </c>
      <c r="B411" t="s">
        <v>60</v>
      </c>
      <c r="C411" s="1">
        <v>45572</v>
      </c>
      <c r="D411" t="s">
        <v>110</v>
      </c>
      <c r="E411" t="s">
        <v>116</v>
      </c>
      <c r="F411" t="s">
        <v>124</v>
      </c>
      <c r="G411">
        <v>5</v>
      </c>
      <c r="H411">
        <v>4869.9399999999996</v>
      </c>
      <c r="I411" s="2">
        <v>24349.7</v>
      </c>
      <c r="J411" t="s">
        <v>144</v>
      </c>
    </row>
    <row r="412" spans="1:10" x14ac:dyDescent="0.3">
      <c r="A412">
        <v>411</v>
      </c>
      <c r="B412" t="s">
        <v>93</v>
      </c>
      <c r="C412" s="1">
        <v>45556</v>
      </c>
      <c r="D412" t="s">
        <v>110</v>
      </c>
      <c r="E412" t="s">
        <v>116</v>
      </c>
      <c r="F412" t="s">
        <v>124</v>
      </c>
      <c r="G412">
        <v>3</v>
      </c>
      <c r="H412">
        <v>3821.95</v>
      </c>
      <c r="I412" s="2">
        <v>11465.85</v>
      </c>
      <c r="J412" t="s">
        <v>144</v>
      </c>
    </row>
    <row r="413" spans="1:10" x14ac:dyDescent="0.3">
      <c r="A413">
        <v>412</v>
      </c>
      <c r="B413" t="s">
        <v>57</v>
      </c>
      <c r="C413" s="1">
        <v>45504</v>
      </c>
      <c r="D413" t="s">
        <v>110</v>
      </c>
      <c r="E413" t="s">
        <v>116</v>
      </c>
      <c r="F413" t="s">
        <v>124</v>
      </c>
      <c r="G413">
        <v>3</v>
      </c>
      <c r="H413">
        <v>4411.13</v>
      </c>
      <c r="I413" s="2">
        <v>13233.39</v>
      </c>
      <c r="J413" t="s">
        <v>144</v>
      </c>
    </row>
    <row r="414" spans="1:10" x14ac:dyDescent="0.3">
      <c r="A414">
        <v>413</v>
      </c>
      <c r="B414" t="s">
        <v>27</v>
      </c>
      <c r="C414" s="1">
        <v>45568</v>
      </c>
      <c r="D414" t="s">
        <v>110</v>
      </c>
      <c r="E414" t="s">
        <v>116</v>
      </c>
      <c r="F414" t="s">
        <v>124</v>
      </c>
      <c r="G414">
        <v>1</v>
      </c>
      <c r="H414">
        <v>1275.3800000000001</v>
      </c>
      <c r="I414" s="2">
        <v>1275.3800000000001</v>
      </c>
      <c r="J414" t="s">
        <v>144</v>
      </c>
    </row>
    <row r="415" spans="1:10" x14ac:dyDescent="0.3">
      <c r="A415">
        <v>414</v>
      </c>
      <c r="B415" t="s">
        <v>73</v>
      </c>
      <c r="C415" s="1">
        <v>45325</v>
      </c>
      <c r="D415" t="s">
        <v>113</v>
      </c>
      <c r="E415" t="s">
        <v>115</v>
      </c>
      <c r="F415" t="s">
        <v>123</v>
      </c>
      <c r="G415">
        <v>2</v>
      </c>
      <c r="H415">
        <v>3769.25</v>
      </c>
      <c r="I415" s="2">
        <v>7538.5</v>
      </c>
      <c r="J415" t="s">
        <v>143</v>
      </c>
    </row>
    <row r="416" spans="1:10" x14ac:dyDescent="0.3">
      <c r="A416">
        <v>415</v>
      </c>
      <c r="B416" t="s">
        <v>36</v>
      </c>
      <c r="C416" s="1">
        <v>45570</v>
      </c>
      <c r="D416" t="s">
        <v>110</v>
      </c>
      <c r="E416" t="s">
        <v>118</v>
      </c>
      <c r="F416" t="s">
        <v>138</v>
      </c>
      <c r="G416">
        <v>3</v>
      </c>
      <c r="H416">
        <v>252.47</v>
      </c>
      <c r="I416" s="2">
        <v>757.41</v>
      </c>
      <c r="J416" t="s">
        <v>158</v>
      </c>
    </row>
    <row r="417" spans="1:10" x14ac:dyDescent="0.3">
      <c r="A417">
        <v>416</v>
      </c>
      <c r="B417" t="s">
        <v>53</v>
      </c>
      <c r="C417" s="1">
        <v>45357</v>
      </c>
      <c r="D417" t="s">
        <v>111</v>
      </c>
      <c r="E417" t="s">
        <v>117</v>
      </c>
      <c r="F417" t="s">
        <v>125</v>
      </c>
      <c r="G417">
        <v>7</v>
      </c>
      <c r="H417">
        <v>918.95</v>
      </c>
      <c r="I417" s="2">
        <v>6432.65</v>
      </c>
      <c r="J417" t="s">
        <v>145</v>
      </c>
    </row>
    <row r="418" spans="1:10" x14ac:dyDescent="0.3">
      <c r="A418">
        <v>417</v>
      </c>
      <c r="B418" t="s">
        <v>100</v>
      </c>
      <c r="C418" s="1">
        <v>45415</v>
      </c>
      <c r="D418" t="s">
        <v>113</v>
      </c>
      <c r="E418" t="s">
        <v>115</v>
      </c>
      <c r="F418" t="s">
        <v>120</v>
      </c>
      <c r="G418">
        <v>9</v>
      </c>
      <c r="H418">
        <v>1156.0999999999999</v>
      </c>
      <c r="I418" s="2">
        <v>10404.9</v>
      </c>
      <c r="J418" t="s">
        <v>140</v>
      </c>
    </row>
    <row r="419" spans="1:10" x14ac:dyDescent="0.3">
      <c r="A419">
        <v>418</v>
      </c>
      <c r="B419" t="s">
        <v>26</v>
      </c>
      <c r="C419" s="1">
        <v>45482</v>
      </c>
      <c r="D419" t="s">
        <v>113</v>
      </c>
      <c r="E419" t="s">
        <v>115</v>
      </c>
      <c r="F419" t="s">
        <v>130</v>
      </c>
      <c r="G419">
        <v>5</v>
      </c>
      <c r="H419">
        <v>2100.6999999999998</v>
      </c>
      <c r="I419" s="2">
        <v>10503.5</v>
      </c>
      <c r="J419" t="s">
        <v>150</v>
      </c>
    </row>
    <row r="420" spans="1:10" x14ac:dyDescent="0.3">
      <c r="A420">
        <v>419</v>
      </c>
      <c r="B420" t="s">
        <v>18</v>
      </c>
      <c r="C420" s="1">
        <v>45330</v>
      </c>
      <c r="D420" t="s">
        <v>113</v>
      </c>
      <c r="E420" t="s">
        <v>115</v>
      </c>
      <c r="F420" t="s">
        <v>120</v>
      </c>
      <c r="G420">
        <v>2</v>
      </c>
      <c r="H420">
        <v>3288.77</v>
      </c>
      <c r="I420" s="2">
        <v>6577.54</v>
      </c>
      <c r="J420" t="s">
        <v>140</v>
      </c>
    </row>
    <row r="421" spans="1:10" x14ac:dyDescent="0.3">
      <c r="A421">
        <v>420</v>
      </c>
      <c r="B421" t="s">
        <v>12</v>
      </c>
      <c r="C421" s="1">
        <v>45542</v>
      </c>
      <c r="D421" t="s">
        <v>111</v>
      </c>
      <c r="E421" t="s">
        <v>115</v>
      </c>
      <c r="F421" t="s">
        <v>123</v>
      </c>
      <c r="G421">
        <v>2</v>
      </c>
      <c r="H421">
        <v>2290.5700000000002</v>
      </c>
      <c r="I421" s="2">
        <v>4581.1400000000003</v>
      </c>
      <c r="J421" t="s">
        <v>143</v>
      </c>
    </row>
    <row r="422" spans="1:10" x14ac:dyDescent="0.3">
      <c r="A422">
        <v>421</v>
      </c>
      <c r="B422" t="s">
        <v>17</v>
      </c>
      <c r="C422" s="1">
        <v>45433</v>
      </c>
      <c r="D422" t="s">
        <v>110</v>
      </c>
      <c r="E422" t="s">
        <v>114</v>
      </c>
      <c r="F422" t="s">
        <v>132</v>
      </c>
      <c r="G422">
        <v>3</v>
      </c>
      <c r="H422">
        <v>2122.5300000000002</v>
      </c>
      <c r="I422" s="2">
        <v>6367.59</v>
      </c>
      <c r="J422" t="s">
        <v>152</v>
      </c>
    </row>
    <row r="423" spans="1:10" x14ac:dyDescent="0.3">
      <c r="A423">
        <v>422</v>
      </c>
      <c r="B423" t="s">
        <v>34</v>
      </c>
      <c r="C423" s="1">
        <v>45375</v>
      </c>
      <c r="D423" t="s">
        <v>113</v>
      </c>
      <c r="E423" t="s">
        <v>118</v>
      </c>
      <c r="F423" t="s">
        <v>129</v>
      </c>
      <c r="G423">
        <v>8</v>
      </c>
      <c r="H423">
        <v>233.16</v>
      </c>
      <c r="I423" s="2">
        <v>1865.28</v>
      </c>
      <c r="J423" t="s">
        <v>149</v>
      </c>
    </row>
    <row r="424" spans="1:10" x14ac:dyDescent="0.3">
      <c r="A424">
        <v>423</v>
      </c>
      <c r="B424" t="s">
        <v>37</v>
      </c>
      <c r="C424" s="1">
        <v>45441</v>
      </c>
      <c r="D424" t="s">
        <v>110</v>
      </c>
      <c r="E424" t="s">
        <v>118</v>
      </c>
      <c r="F424" t="s">
        <v>134</v>
      </c>
      <c r="G424">
        <v>3</v>
      </c>
      <c r="H424">
        <v>4147.59</v>
      </c>
      <c r="I424" s="2">
        <v>12442.77</v>
      </c>
      <c r="J424" t="s">
        <v>154</v>
      </c>
    </row>
    <row r="425" spans="1:10" x14ac:dyDescent="0.3">
      <c r="A425">
        <v>424</v>
      </c>
      <c r="B425" t="s">
        <v>85</v>
      </c>
      <c r="C425" s="1">
        <v>45492</v>
      </c>
      <c r="D425" t="s">
        <v>110</v>
      </c>
      <c r="E425" t="s">
        <v>117</v>
      </c>
      <c r="F425" t="s">
        <v>128</v>
      </c>
      <c r="G425">
        <v>7</v>
      </c>
      <c r="H425">
        <v>3144.59</v>
      </c>
      <c r="I425" s="2">
        <v>22012.13</v>
      </c>
      <c r="J425" t="s">
        <v>148</v>
      </c>
    </row>
    <row r="426" spans="1:10" x14ac:dyDescent="0.3">
      <c r="A426">
        <v>425</v>
      </c>
      <c r="B426" t="s">
        <v>26</v>
      </c>
      <c r="C426" s="1">
        <v>45542</v>
      </c>
      <c r="D426" t="s">
        <v>110</v>
      </c>
      <c r="E426" t="s">
        <v>118</v>
      </c>
      <c r="F426" t="s">
        <v>129</v>
      </c>
      <c r="G426">
        <v>3</v>
      </c>
      <c r="H426">
        <v>4376.49</v>
      </c>
      <c r="I426" s="2">
        <v>13129.47</v>
      </c>
      <c r="J426" t="s">
        <v>149</v>
      </c>
    </row>
    <row r="427" spans="1:10" x14ac:dyDescent="0.3">
      <c r="A427">
        <v>426</v>
      </c>
      <c r="B427" t="s">
        <v>57</v>
      </c>
      <c r="C427" s="1">
        <v>45411</v>
      </c>
      <c r="D427" t="s">
        <v>112</v>
      </c>
      <c r="E427" t="s">
        <v>114</v>
      </c>
      <c r="F427" t="s">
        <v>122</v>
      </c>
      <c r="G427">
        <v>4</v>
      </c>
      <c r="H427">
        <v>573.02</v>
      </c>
      <c r="I427" s="2">
        <v>2292.08</v>
      </c>
      <c r="J427" t="s">
        <v>142</v>
      </c>
    </row>
    <row r="428" spans="1:10" x14ac:dyDescent="0.3">
      <c r="A428">
        <v>427</v>
      </c>
      <c r="B428" t="s">
        <v>86</v>
      </c>
      <c r="C428" s="1">
        <v>45556</v>
      </c>
      <c r="D428" t="s">
        <v>110</v>
      </c>
      <c r="E428" t="s">
        <v>118</v>
      </c>
      <c r="F428" t="s">
        <v>129</v>
      </c>
      <c r="G428">
        <v>4</v>
      </c>
      <c r="H428">
        <v>1576.2</v>
      </c>
      <c r="I428" s="2">
        <v>6304.8</v>
      </c>
      <c r="J428" t="s">
        <v>149</v>
      </c>
    </row>
    <row r="429" spans="1:10" x14ac:dyDescent="0.3">
      <c r="A429">
        <v>428</v>
      </c>
      <c r="B429" t="s">
        <v>43</v>
      </c>
      <c r="C429" s="1">
        <v>45518</v>
      </c>
      <c r="D429" t="s">
        <v>113</v>
      </c>
      <c r="E429" t="s">
        <v>115</v>
      </c>
      <c r="F429" t="s">
        <v>135</v>
      </c>
      <c r="G429">
        <v>9</v>
      </c>
      <c r="H429">
        <v>335.9</v>
      </c>
      <c r="I429" s="2">
        <v>3023.1</v>
      </c>
      <c r="J429" t="s">
        <v>155</v>
      </c>
    </row>
    <row r="430" spans="1:10" x14ac:dyDescent="0.3">
      <c r="A430">
        <v>429</v>
      </c>
      <c r="B430" t="s">
        <v>105</v>
      </c>
      <c r="C430" s="1">
        <v>45555</v>
      </c>
      <c r="D430" t="s">
        <v>112</v>
      </c>
      <c r="E430" t="s">
        <v>118</v>
      </c>
      <c r="F430" t="s">
        <v>138</v>
      </c>
      <c r="G430">
        <v>6</v>
      </c>
      <c r="H430">
        <v>4472.28</v>
      </c>
      <c r="I430" s="2">
        <v>26833.68</v>
      </c>
      <c r="J430" t="s">
        <v>158</v>
      </c>
    </row>
    <row r="431" spans="1:10" x14ac:dyDescent="0.3">
      <c r="A431">
        <v>430</v>
      </c>
      <c r="B431" t="s">
        <v>52</v>
      </c>
      <c r="C431" s="1">
        <v>45307</v>
      </c>
      <c r="D431" t="s">
        <v>113</v>
      </c>
      <c r="E431" t="s">
        <v>118</v>
      </c>
      <c r="F431" t="s">
        <v>129</v>
      </c>
      <c r="G431">
        <v>3</v>
      </c>
      <c r="H431">
        <v>1412.11</v>
      </c>
      <c r="I431" s="2">
        <v>4236.33</v>
      </c>
      <c r="J431" t="s">
        <v>149</v>
      </c>
    </row>
    <row r="432" spans="1:10" x14ac:dyDescent="0.3">
      <c r="A432">
        <v>431</v>
      </c>
      <c r="B432" t="s">
        <v>32</v>
      </c>
      <c r="C432" s="1">
        <v>45546</v>
      </c>
      <c r="D432" t="s">
        <v>113</v>
      </c>
      <c r="E432" t="s">
        <v>114</v>
      </c>
      <c r="F432" t="s">
        <v>132</v>
      </c>
      <c r="G432">
        <v>4</v>
      </c>
      <c r="H432">
        <v>1179.0999999999999</v>
      </c>
      <c r="I432" s="2">
        <v>4716.3999999999996</v>
      </c>
      <c r="J432" t="s">
        <v>152</v>
      </c>
    </row>
    <row r="433" spans="1:10" x14ac:dyDescent="0.3">
      <c r="A433">
        <v>432</v>
      </c>
      <c r="B433" t="s">
        <v>22</v>
      </c>
      <c r="C433" s="1">
        <v>45492</v>
      </c>
      <c r="D433" t="s">
        <v>113</v>
      </c>
      <c r="E433" t="s">
        <v>118</v>
      </c>
      <c r="F433" t="s">
        <v>129</v>
      </c>
      <c r="G433">
        <v>3</v>
      </c>
      <c r="H433">
        <v>4163.51</v>
      </c>
      <c r="I433" s="2">
        <v>12490.53</v>
      </c>
      <c r="J433" t="s">
        <v>149</v>
      </c>
    </row>
    <row r="434" spans="1:10" x14ac:dyDescent="0.3">
      <c r="A434">
        <v>433</v>
      </c>
      <c r="B434" t="s">
        <v>99</v>
      </c>
      <c r="C434" s="1">
        <v>45356</v>
      </c>
      <c r="D434" t="s">
        <v>110</v>
      </c>
      <c r="E434" t="s">
        <v>114</v>
      </c>
      <c r="F434" t="s">
        <v>119</v>
      </c>
      <c r="G434">
        <v>8</v>
      </c>
      <c r="H434">
        <v>1653.04</v>
      </c>
      <c r="I434" s="2">
        <v>13224.32</v>
      </c>
      <c r="J434" t="s">
        <v>139</v>
      </c>
    </row>
    <row r="435" spans="1:10" x14ac:dyDescent="0.3">
      <c r="A435">
        <v>434</v>
      </c>
      <c r="B435" t="s">
        <v>64</v>
      </c>
      <c r="C435" s="1">
        <v>45465</v>
      </c>
      <c r="D435" t="s">
        <v>111</v>
      </c>
      <c r="E435" t="s">
        <v>118</v>
      </c>
      <c r="F435" t="s">
        <v>134</v>
      </c>
      <c r="G435">
        <v>4</v>
      </c>
      <c r="H435">
        <v>2272.56</v>
      </c>
      <c r="I435" s="2">
        <v>9090.24</v>
      </c>
      <c r="J435" t="s">
        <v>154</v>
      </c>
    </row>
    <row r="436" spans="1:10" x14ac:dyDescent="0.3">
      <c r="A436">
        <v>435</v>
      </c>
      <c r="B436" t="s">
        <v>70</v>
      </c>
      <c r="C436" s="1">
        <v>45329</v>
      </c>
      <c r="D436" t="s">
        <v>110</v>
      </c>
      <c r="E436" t="s">
        <v>118</v>
      </c>
      <c r="F436" t="s">
        <v>138</v>
      </c>
      <c r="G436">
        <v>3</v>
      </c>
      <c r="H436">
        <v>1263.42</v>
      </c>
      <c r="I436" s="2">
        <v>3790.26</v>
      </c>
      <c r="J436" t="s">
        <v>158</v>
      </c>
    </row>
    <row r="437" spans="1:10" x14ac:dyDescent="0.3">
      <c r="A437">
        <v>436</v>
      </c>
      <c r="B437" t="s">
        <v>83</v>
      </c>
      <c r="C437" s="1">
        <v>45319</v>
      </c>
      <c r="D437" t="s">
        <v>110</v>
      </c>
      <c r="E437" t="s">
        <v>117</v>
      </c>
      <c r="F437" t="s">
        <v>128</v>
      </c>
      <c r="G437">
        <v>3</v>
      </c>
      <c r="H437">
        <v>3295.9</v>
      </c>
      <c r="I437" s="2">
        <v>9887.7000000000007</v>
      </c>
      <c r="J437" t="s">
        <v>148</v>
      </c>
    </row>
    <row r="438" spans="1:10" x14ac:dyDescent="0.3">
      <c r="A438">
        <v>437</v>
      </c>
      <c r="B438" t="s">
        <v>18</v>
      </c>
      <c r="C438" s="1">
        <v>45453</v>
      </c>
      <c r="D438" t="s">
        <v>111</v>
      </c>
      <c r="E438" t="s">
        <v>118</v>
      </c>
      <c r="F438" t="s">
        <v>138</v>
      </c>
      <c r="G438">
        <v>8</v>
      </c>
      <c r="H438">
        <v>3207.11</v>
      </c>
      <c r="I438" s="2">
        <v>25656.880000000001</v>
      </c>
      <c r="J438" t="s">
        <v>158</v>
      </c>
    </row>
    <row r="439" spans="1:10" x14ac:dyDescent="0.3">
      <c r="A439">
        <v>438</v>
      </c>
      <c r="B439" t="s">
        <v>44</v>
      </c>
      <c r="C439" s="1">
        <v>45505</v>
      </c>
      <c r="D439" t="s">
        <v>113</v>
      </c>
      <c r="E439" t="s">
        <v>116</v>
      </c>
      <c r="F439" t="s">
        <v>131</v>
      </c>
      <c r="G439">
        <v>6</v>
      </c>
      <c r="H439">
        <v>323.68</v>
      </c>
      <c r="I439" s="2">
        <v>1942.08</v>
      </c>
      <c r="J439" t="s">
        <v>151</v>
      </c>
    </row>
    <row r="440" spans="1:10" x14ac:dyDescent="0.3">
      <c r="A440">
        <v>439</v>
      </c>
      <c r="B440" t="s">
        <v>108</v>
      </c>
      <c r="C440" s="1">
        <v>45384</v>
      </c>
      <c r="D440" t="s">
        <v>113</v>
      </c>
      <c r="E440" t="s">
        <v>118</v>
      </c>
      <c r="F440" t="s">
        <v>134</v>
      </c>
      <c r="G440">
        <v>8</v>
      </c>
      <c r="H440">
        <v>2401.7399999999998</v>
      </c>
      <c r="I440" s="2">
        <v>19213.919999999998</v>
      </c>
      <c r="J440" t="s">
        <v>154</v>
      </c>
    </row>
    <row r="441" spans="1:10" x14ac:dyDescent="0.3">
      <c r="A441">
        <v>440</v>
      </c>
      <c r="B441" t="s">
        <v>20</v>
      </c>
      <c r="C441" s="1">
        <v>45528</v>
      </c>
      <c r="D441" t="s">
        <v>110</v>
      </c>
      <c r="E441" t="s">
        <v>118</v>
      </c>
      <c r="F441" t="s">
        <v>138</v>
      </c>
      <c r="G441">
        <v>6</v>
      </c>
      <c r="H441">
        <v>4285.2700000000004</v>
      </c>
      <c r="I441" s="2">
        <v>25711.62</v>
      </c>
      <c r="J441" t="s">
        <v>158</v>
      </c>
    </row>
    <row r="442" spans="1:10" x14ac:dyDescent="0.3">
      <c r="A442">
        <v>441</v>
      </c>
      <c r="B442" t="s">
        <v>72</v>
      </c>
      <c r="C442" s="1">
        <v>45427</v>
      </c>
      <c r="D442" t="s">
        <v>111</v>
      </c>
      <c r="E442" t="s">
        <v>117</v>
      </c>
      <c r="F442" t="s">
        <v>133</v>
      </c>
      <c r="G442">
        <v>1</v>
      </c>
      <c r="H442">
        <v>1760.42</v>
      </c>
      <c r="I442" s="2">
        <v>1760.42</v>
      </c>
      <c r="J442" t="s">
        <v>153</v>
      </c>
    </row>
    <row r="443" spans="1:10" x14ac:dyDescent="0.3">
      <c r="A443">
        <v>442</v>
      </c>
      <c r="B443" t="s">
        <v>68</v>
      </c>
      <c r="C443" s="1">
        <v>45536</v>
      </c>
      <c r="D443" t="s">
        <v>113</v>
      </c>
      <c r="E443" t="s">
        <v>116</v>
      </c>
      <c r="F443" t="s">
        <v>136</v>
      </c>
      <c r="G443">
        <v>6</v>
      </c>
      <c r="H443">
        <v>4665.59</v>
      </c>
      <c r="I443" s="2">
        <v>27993.54</v>
      </c>
      <c r="J443" t="s">
        <v>156</v>
      </c>
    </row>
    <row r="444" spans="1:10" x14ac:dyDescent="0.3">
      <c r="A444">
        <v>443</v>
      </c>
      <c r="B444" t="s">
        <v>45</v>
      </c>
      <c r="C444" s="1">
        <v>45328</v>
      </c>
      <c r="D444" t="s">
        <v>113</v>
      </c>
      <c r="E444" t="s">
        <v>118</v>
      </c>
      <c r="F444" t="s">
        <v>138</v>
      </c>
      <c r="G444">
        <v>8</v>
      </c>
      <c r="H444">
        <v>2704.84</v>
      </c>
      <c r="I444" s="2">
        <v>21638.720000000001</v>
      </c>
      <c r="J444" t="s">
        <v>158</v>
      </c>
    </row>
    <row r="445" spans="1:10" x14ac:dyDescent="0.3">
      <c r="A445">
        <v>444</v>
      </c>
      <c r="B445" t="s">
        <v>51</v>
      </c>
      <c r="C445" s="1">
        <v>45474</v>
      </c>
      <c r="D445" t="s">
        <v>113</v>
      </c>
      <c r="E445" t="s">
        <v>114</v>
      </c>
      <c r="F445" t="s">
        <v>132</v>
      </c>
      <c r="G445">
        <v>3</v>
      </c>
      <c r="H445">
        <v>2307.9299999999998</v>
      </c>
      <c r="I445" s="2">
        <v>6923.79</v>
      </c>
      <c r="J445" t="s">
        <v>152</v>
      </c>
    </row>
    <row r="446" spans="1:10" x14ac:dyDescent="0.3">
      <c r="A446">
        <v>445</v>
      </c>
      <c r="B446" t="s">
        <v>24</v>
      </c>
      <c r="C446" s="1">
        <v>45336</v>
      </c>
      <c r="D446" t="s">
        <v>113</v>
      </c>
      <c r="E446" t="s">
        <v>117</v>
      </c>
      <c r="F446" t="s">
        <v>125</v>
      </c>
      <c r="G446">
        <v>8</v>
      </c>
      <c r="H446">
        <v>4547.29</v>
      </c>
      <c r="I446" s="2">
        <v>36378.32</v>
      </c>
      <c r="J446" t="s">
        <v>145</v>
      </c>
    </row>
    <row r="447" spans="1:10" x14ac:dyDescent="0.3">
      <c r="A447">
        <v>446</v>
      </c>
      <c r="B447" t="s">
        <v>76</v>
      </c>
      <c r="C447" s="1">
        <v>45531</v>
      </c>
      <c r="D447" t="s">
        <v>113</v>
      </c>
      <c r="E447" t="s">
        <v>114</v>
      </c>
      <c r="F447" t="s">
        <v>121</v>
      </c>
      <c r="G447">
        <v>7</v>
      </c>
      <c r="H447">
        <v>4774.76</v>
      </c>
      <c r="I447" s="2">
        <v>33423.32</v>
      </c>
      <c r="J447" t="s">
        <v>141</v>
      </c>
    </row>
    <row r="448" spans="1:10" x14ac:dyDescent="0.3">
      <c r="A448">
        <v>447</v>
      </c>
      <c r="B448" t="s">
        <v>78</v>
      </c>
      <c r="C448" s="1">
        <v>45299</v>
      </c>
      <c r="D448" t="s">
        <v>113</v>
      </c>
      <c r="E448" t="s">
        <v>115</v>
      </c>
      <c r="F448" t="s">
        <v>135</v>
      </c>
      <c r="G448">
        <v>7</v>
      </c>
      <c r="H448">
        <v>3616.1</v>
      </c>
      <c r="I448" s="2">
        <v>25312.7</v>
      </c>
      <c r="J448" t="s">
        <v>155</v>
      </c>
    </row>
    <row r="449" spans="1:10" x14ac:dyDescent="0.3">
      <c r="A449">
        <v>448</v>
      </c>
      <c r="B449" t="s">
        <v>61</v>
      </c>
      <c r="C449" s="1">
        <v>45506</v>
      </c>
      <c r="D449" t="s">
        <v>113</v>
      </c>
      <c r="E449" t="s">
        <v>117</v>
      </c>
      <c r="F449" t="s">
        <v>127</v>
      </c>
      <c r="G449">
        <v>2</v>
      </c>
      <c r="H449">
        <v>660.99</v>
      </c>
      <c r="I449" s="2">
        <v>1321.98</v>
      </c>
      <c r="J449" t="s">
        <v>147</v>
      </c>
    </row>
    <row r="450" spans="1:10" x14ac:dyDescent="0.3">
      <c r="A450">
        <v>449</v>
      </c>
      <c r="B450" t="s">
        <v>30</v>
      </c>
      <c r="C450" s="1">
        <v>45452</v>
      </c>
      <c r="D450" t="s">
        <v>111</v>
      </c>
      <c r="E450" t="s">
        <v>117</v>
      </c>
      <c r="F450" t="s">
        <v>127</v>
      </c>
      <c r="G450">
        <v>5</v>
      </c>
      <c r="H450">
        <v>693.02</v>
      </c>
      <c r="I450" s="2">
        <v>3465.1</v>
      </c>
      <c r="J450" t="s">
        <v>147</v>
      </c>
    </row>
    <row r="451" spans="1:10" x14ac:dyDescent="0.3">
      <c r="A451">
        <v>450</v>
      </c>
      <c r="B451" t="s">
        <v>38</v>
      </c>
      <c r="C451" s="1">
        <v>45375</v>
      </c>
      <c r="D451" t="s">
        <v>113</v>
      </c>
      <c r="E451" t="s">
        <v>118</v>
      </c>
      <c r="F451" t="s">
        <v>129</v>
      </c>
      <c r="G451">
        <v>3</v>
      </c>
      <c r="H451">
        <v>1838.38</v>
      </c>
      <c r="I451" s="2">
        <v>5515.14</v>
      </c>
      <c r="J451" t="s">
        <v>149</v>
      </c>
    </row>
    <row r="452" spans="1:10" x14ac:dyDescent="0.3">
      <c r="A452">
        <v>451</v>
      </c>
      <c r="B452" t="s">
        <v>102</v>
      </c>
      <c r="C452" s="1">
        <v>45549</v>
      </c>
      <c r="D452" t="s">
        <v>111</v>
      </c>
      <c r="E452" t="s">
        <v>114</v>
      </c>
      <c r="F452" t="s">
        <v>122</v>
      </c>
      <c r="G452">
        <v>2</v>
      </c>
      <c r="H452">
        <v>4451.3900000000003</v>
      </c>
      <c r="I452" s="2">
        <v>8902.7800000000007</v>
      </c>
      <c r="J452" t="s">
        <v>142</v>
      </c>
    </row>
    <row r="453" spans="1:10" x14ac:dyDescent="0.3">
      <c r="A453">
        <v>452</v>
      </c>
      <c r="B453" t="s">
        <v>38</v>
      </c>
      <c r="C453" s="1">
        <v>45557</v>
      </c>
      <c r="D453" t="s">
        <v>112</v>
      </c>
      <c r="E453" t="s">
        <v>116</v>
      </c>
      <c r="F453" t="s">
        <v>136</v>
      </c>
      <c r="G453">
        <v>6</v>
      </c>
      <c r="H453">
        <v>667.11</v>
      </c>
      <c r="I453" s="2">
        <v>4002.66</v>
      </c>
      <c r="J453" t="s">
        <v>156</v>
      </c>
    </row>
    <row r="454" spans="1:10" x14ac:dyDescent="0.3">
      <c r="A454">
        <v>453</v>
      </c>
      <c r="B454" t="s">
        <v>12</v>
      </c>
      <c r="C454" s="1">
        <v>45319</v>
      </c>
      <c r="D454" t="s">
        <v>111</v>
      </c>
      <c r="E454" t="s">
        <v>117</v>
      </c>
      <c r="F454" t="s">
        <v>127</v>
      </c>
      <c r="G454">
        <v>5</v>
      </c>
      <c r="H454">
        <v>4522.0200000000004</v>
      </c>
      <c r="I454" s="2">
        <v>22610.1</v>
      </c>
      <c r="J454" t="s">
        <v>147</v>
      </c>
    </row>
    <row r="455" spans="1:10" x14ac:dyDescent="0.3">
      <c r="A455">
        <v>454</v>
      </c>
      <c r="B455" t="s">
        <v>105</v>
      </c>
      <c r="C455" s="1">
        <v>45587</v>
      </c>
      <c r="D455" t="s">
        <v>112</v>
      </c>
      <c r="E455" t="s">
        <v>118</v>
      </c>
      <c r="F455" t="s">
        <v>138</v>
      </c>
      <c r="G455">
        <v>3</v>
      </c>
      <c r="H455">
        <v>2299.38</v>
      </c>
      <c r="I455" s="2">
        <v>6898.14</v>
      </c>
      <c r="J455" t="s">
        <v>158</v>
      </c>
    </row>
    <row r="456" spans="1:10" x14ac:dyDescent="0.3">
      <c r="A456">
        <v>455</v>
      </c>
      <c r="B456" t="s">
        <v>12</v>
      </c>
      <c r="C456" s="1">
        <v>45504</v>
      </c>
      <c r="D456" t="s">
        <v>112</v>
      </c>
      <c r="E456" t="s">
        <v>118</v>
      </c>
      <c r="F456" t="s">
        <v>134</v>
      </c>
      <c r="G456">
        <v>9</v>
      </c>
      <c r="H456">
        <v>3672.95</v>
      </c>
      <c r="I456" s="2">
        <v>33056.550000000003</v>
      </c>
      <c r="J456" t="s">
        <v>154</v>
      </c>
    </row>
    <row r="457" spans="1:10" x14ac:dyDescent="0.3">
      <c r="A457">
        <v>456</v>
      </c>
      <c r="B457" t="s">
        <v>85</v>
      </c>
      <c r="C457" s="1">
        <v>45575</v>
      </c>
      <c r="D457" t="s">
        <v>113</v>
      </c>
      <c r="E457" t="s">
        <v>115</v>
      </c>
      <c r="F457" t="s">
        <v>135</v>
      </c>
      <c r="G457">
        <v>4</v>
      </c>
      <c r="H457">
        <v>3397.54</v>
      </c>
      <c r="I457" s="2">
        <v>13590.16</v>
      </c>
      <c r="J457" t="s">
        <v>155</v>
      </c>
    </row>
    <row r="458" spans="1:10" x14ac:dyDescent="0.3">
      <c r="A458">
        <v>457</v>
      </c>
      <c r="B458" t="s">
        <v>50</v>
      </c>
      <c r="C458" s="1">
        <v>45413</v>
      </c>
      <c r="D458" t="s">
        <v>112</v>
      </c>
      <c r="E458" t="s">
        <v>117</v>
      </c>
      <c r="F458" t="s">
        <v>133</v>
      </c>
      <c r="G458">
        <v>2</v>
      </c>
      <c r="H458">
        <v>1982.77</v>
      </c>
      <c r="I458" s="2">
        <v>3965.54</v>
      </c>
      <c r="J458" t="s">
        <v>153</v>
      </c>
    </row>
    <row r="459" spans="1:10" x14ac:dyDescent="0.3">
      <c r="A459">
        <v>458</v>
      </c>
      <c r="B459" t="s">
        <v>108</v>
      </c>
      <c r="C459" s="1">
        <v>45447</v>
      </c>
      <c r="D459" t="s">
        <v>110</v>
      </c>
      <c r="E459" t="s">
        <v>118</v>
      </c>
      <c r="F459" t="s">
        <v>134</v>
      </c>
      <c r="G459">
        <v>7</v>
      </c>
      <c r="H459">
        <v>1662.45</v>
      </c>
      <c r="I459" s="2">
        <v>11637.15</v>
      </c>
      <c r="J459" t="s">
        <v>154</v>
      </c>
    </row>
    <row r="460" spans="1:10" x14ac:dyDescent="0.3">
      <c r="A460">
        <v>459</v>
      </c>
      <c r="B460" t="s">
        <v>23</v>
      </c>
      <c r="C460" s="1">
        <v>45451</v>
      </c>
      <c r="D460" t="s">
        <v>112</v>
      </c>
      <c r="E460" t="s">
        <v>115</v>
      </c>
      <c r="F460" t="s">
        <v>130</v>
      </c>
      <c r="G460">
        <v>6</v>
      </c>
      <c r="H460">
        <v>3557.37</v>
      </c>
      <c r="I460" s="2">
        <v>21344.22</v>
      </c>
      <c r="J460" t="s">
        <v>150</v>
      </c>
    </row>
    <row r="461" spans="1:10" x14ac:dyDescent="0.3">
      <c r="A461">
        <v>460</v>
      </c>
      <c r="B461" t="s">
        <v>33</v>
      </c>
      <c r="C461" s="1">
        <v>45458</v>
      </c>
      <c r="D461" t="s">
        <v>112</v>
      </c>
      <c r="E461" t="s">
        <v>117</v>
      </c>
      <c r="F461" t="s">
        <v>128</v>
      </c>
      <c r="G461">
        <v>7</v>
      </c>
      <c r="H461">
        <v>798.71</v>
      </c>
      <c r="I461" s="2">
        <v>5590.97</v>
      </c>
      <c r="J461" t="s">
        <v>148</v>
      </c>
    </row>
    <row r="462" spans="1:10" x14ac:dyDescent="0.3">
      <c r="A462">
        <v>461</v>
      </c>
      <c r="B462" t="s">
        <v>28</v>
      </c>
      <c r="C462" s="1">
        <v>45484</v>
      </c>
      <c r="D462" t="s">
        <v>111</v>
      </c>
      <c r="E462" t="s">
        <v>117</v>
      </c>
      <c r="F462" t="s">
        <v>125</v>
      </c>
      <c r="G462">
        <v>2</v>
      </c>
      <c r="H462">
        <v>3220.82</v>
      </c>
      <c r="I462" s="2">
        <v>6441.64</v>
      </c>
      <c r="J462" t="s">
        <v>145</v>
      </c>
    </row>
    <row r="463" spans="1:10" x14ac:dyDescent="0.3">
      <c r="A463">
        <v>462</v>
      </c>
      <c r="B463" t="s">
        <v>44</v>
      </c>
      <c r="C463" s="1">
        <v>45417</v>
      </c>
      <c r="D463" t="s">
        <v>111</v>
      </c>
      <c r="E463" t="s">
        <v>118</v>
      </c>
      <c r="F463" t="s">
        <v>138</v>
      </c>
      <c r="G463">
        <v>6</v>
      </c>
      <c r="H463">
        <v>4250.9799999999996</v>
      </c>
      <c r="I463" s="2">
        <v>25505.88</v>
      </c>
      <c r="J463" t="s">
        <v>158</v>
      </c>
    </row>
    <row r="464" spans="1:10" x14ac:dyDescent="0.3">
      <c r="A464">
        <v>463</v>
      </c>
      <c r="B464" t="s">
        <v>52</v>
      </c>
      <c r="C464" s="1">
        <v>45467</v>
      </c>
      <c r="D464" t="s">
        <v>110</v>
      </c>
      <c r="E464" t="s">
        <v>117</v>
      </c>
      <c r="F464" t="s">
        <v>127</v>
      </c>
      <c r="G464">
        <v>1</v>
      </c>
      <c r="H464">
        <v>615.77</v>
      </c>
      <c r="I464" s="2">
        <v>615.77</v>
      </c>
      <c r="J464" t="s">
        <v>147</v>
      </c>
    </row>
    <row r="465" spans="1:10" x14ac:dyDescent="0.3">
      <c r="A465">
        <v>464</v>
      </c>
      <c r="B465" t="s">
        <v>107</v>
      </c>
      <c r="C465" s="1">
        <v>45358</v>
      </c>
      <c r="D465" t="s">
        <v>111</v>
      </c>
      <c r="E465" t="s">
        <v>114</v>
      </c>
      <c r="F465" t="s">
        <v>132</v>
      </c>
      <c r="G465">
        <v>6</v>
      </c>
      <c r="H465">
        <v>4635.62</v>
      </c>
      <c r="I465" s="2">
        <v>27813.72</v>
      </c>
      <c r="J465" t="s">
        <v>152</v>
      </c>
    </row>
    <row r="466" spans="1:10" x14ac:dyDescent="0.3">
      <c r="A466">
        <v>465</v>
      </c>
      <c r="B466" t="s">
        <v>48</v>
      </c>
      <c r="C466" s="1">
        <v>45525</v>
      </c>
      <c r="D466" t="s">
        <v>111</v>
      </c>
      <c r="E466" t="s">
        <v>116</v>
      </c>
      <c r="F466" t="s">
        <v>124</v>
      </c>
      <c r="G466">
        <v>5</v>
      </c>
      <c r="H466">
        <v>1517.3</v>
      </c>
      <c r="I466" s="2">
        <v>7586.5</v>
      </c>
      <c r="J466" t="s">
        <v>144</v>
      </c>
    </row>
    <row r="467" spans="1:10" x14ac:dyDescent="0.3">
      <c r="A467">
        <v>466</v>
      </c>
      <c r="B467" t="s">
        <v>15</v>
      </c>
      <c r="C467" s="1">
        <v>45461</v>
      </c>
      <c r="D467" t="s">
        <v>110</v>
      </c>
      <c r="E467" t="s">
        <v>114</v>
      </c>
      <c r="F467" t="s">
        <v>119</v>
      </c>
      <c r="G467">
        <v>7</v>
      </c>
      <c r="H467">
        <v>2276.23</v>
      </c>
      <c r="I467" s="2">
        <v>15933.61</v>
      </c>
      <c r="J467" t="s">
        <v>139</v>
      </c>
    </row>
    <row r="468" spans="1:10" x14ac:dyDescent="0.3">
      <c r="A468">
        <v>467</v>
      </c>
      <c r="B468" t="s">
        <v>56</v>
      </c>
      <c r="C468" s="1">
        <v>45492</v>
      </c>
      <c r="D468" t="s">
        <v>113</v>
      </c>
      <c r="E468" t="s">
        <v>114</v>
      </c>
      <c r="F468" t="s">
        <v>122</v>
      </c>
      <c r="G468">
        <v>4</v>
      </c>
      <c r="H468">
        <v>251.59</v>
      </c>
      <c r="I468" s="2">
        <v>1006.36</v>
      </c>
      <c r="J468" t="s">
        <v>142</v>
      </c>
    </row>
    <row r="469" spans="1:10" x14ac:dyDescent="0.3">
      <c r="A469">
        <v>468</v>
      </c>
      <c r="B469" t="s">
        <v>19</v>
      </c>
      <c r="C469" s="1">
        <v>45569</v>
      </c>
      <c r="D469" t="s">
        <v>110</v>
      </c>
      <c r="E469" t="s">
        <v>114</v>
      </c>
      <c r="F469" t="s">
        <v>122</v>
      </c>
      <c r="G469">
        <v>9</v>
      </c>
      <c r="H469">
        <v>2813.19</v>
      </c>
      <c r="I469" s="2">
        <v>25318.71</v>
      </c>
      <c r="J469" t="s">
        <v>142</v>
      </c>
    </row>
    <row r="470" spans="1:10" x14ac:dyDescent="0.3">
      <c r="A470">
        <v>469</v>
      </c>
      <c r="B470" t="s">
        <v>64</v>
      </c>
      <c r="C470" s="1">
        <v>45333</v>
      </c>
      <c r="D470" t="s">
        <v>112</v>
      </c>
      <c r="E470" t="s">
        <v>114</v>
      </c>
      <c r="F470" t="s">
        <v>119</v>
      </c>
      <c r="G470">
        <v>1</v>
      </c>
      <c r="H470">
        <v>2586.4899999999998</v>
      </c>
      <c r="I470" s="2">
        <v>2586.4899999999998</v>
      </c>
      <c r="J470" t="s">
        <v>139</v>
      </c>
    </row>
    <row r="471" spans="1:10" x14ac:dyDescent="0.3">
      <c r="A471">
        <v>470</v>
      </c>
      <c r="B471" t="s">
        <v>11</v>
      </c>
      <c r="C471" s="1">
        <v>45591</v>
      </c>
      <c r="D471" t="s">
        <v>111</v>
      </c>
      <c r="E471" t="s">
        <v>117</v>
      </c>
      <c r="F471" t="s">
        <v>125</v>
      </c>
      <c r="G471">
        <v>1</v>
      </c>
      <c r="H471">
        <v>2944.29</v>
      </c>
      <c r="I471" s="2">
        <v>2944.29</v>
      </c>
      <c r="J471" t="s">
        <v>145</v>
      </c>
    </row>
    <row r="472" spans="1:10" x14ac:dyDescent="0.3">
      <c r="A472">
        <v>471</v>
      </c>
      <c r="B472" t="s">
        <v>109</v>
      </c>
      <c r="C472" s="1">
        <v>45416</v>
      </c>
      <c r="D472" t="s">
        <v>111</v>
      </c>
      <c r="E472" t="s">
        <v>114</v>
      </c>
      <c r="F472" t="s">
        <v>119</v>
      </c>
      <c r="G472">
        <v>2</v>
      </c>
      <c r="H472">
        <v>2495.6</v>
      </c>
      <c r="I472" s="2">
        <v>4991.2</v>
      </c>
      <c r="J472" t="s">
        <v>139</v>
      </c>
    </row>
    <row r="473" spans="1:10" x14ac:dyDescent="0.3">
      <c r="A473">
        <v>472</v>
      </c>
      <c r="B473" t="s">
        <v>11</v>
      </c>
      <c r="C473" s="1">
        <v>45564</v>
      </c>
      <c r="D473" t="s">
        <v>111</v>
      </c>
      <c r="E473" t="s">
        <v>117</v>
      </c>
      <c r="F473" t="s">
        <v>127</v>
      </c>
      <c r="G473">
        <v>8</v>
      </c>
      <c r="H473">
        <v>1696.53</v>
      </c>
      <c r="I473" s="2">
        <v>13572.24</v>
      </c>
      <c r="J473" t="s">
        <v>147</v>
      </c>
    </row>
    <row r="474" spans="1:10" x14ac:dyDescent="0.3">
      <c r="A474">
        <v>473</v>
      </c>
      <c r="B474" t="s">
        <v>67</v>
      </c>
      <c r="C474" s="1">
        <v>45541</v>
      </c>
      <c r="D474" t="s">
        <v>111</v>
      </c>
      <c r="E474" t="s">
        <v>114</v>
      </c>
      <c r="F474" t="s">
        <v>119</v>
      </c>
      <c r="G474">
        <v>5</v>
      </c>
      <c r="H474">
        <v>825.12</v>
      </c>
      <c r="I474" s="2">
        <v>4125.6000000000004</v>
      </c>
      <c r="J474" t="s">
        <v>139</v>
      </c>
    </row>
    <row r="475" spans="1:10" x14ac:dyDescent="0.3">
      <c r="A475">
        <v>474</v>
      </c>
      <c r="B475" t="s">
        <v>107</v>
      </c>
      <c r="C475" s="1">
        <v>45436</v>
      </c>
      <c r="D475" t="s">
        <v>113</v>
      </c>
      <c r="E475" t="s">
        <v>117</v>
      </c>
      <c r="F475" t="s">
        <v>127</v>
      </c>
      <c r="G475">
        <v>3</v>
      </c>
      <c r="H475">
        <v>748.62</v>
      </c>
      <c r="I475" s="2">
        <v>2245.86</v>
      </c>
      <c r="J475" t="s">
        <v>147</v>
      </c>
    </row>
    <row r="476" spans="1:10" x14ac:dyDescent="0.3">
      <c r="A476">
        <v>475</v>
      </c>
      <c r="B476" t="s">
        <v>93</v>
      </c>
      <c r="C476" s="1">
        <v>45408</v>
      </c>
      <c r="D476" t="s">
        <v>112</v>
      </c>
      <c r="E476" t="s">
        <v>115</v>
      </c>
      <c r="F476" t="s">
        <v>135</v>
      </c>
      <c r="G476">
        <v>6</v>
      </c>
      <c r="H476">
        <v>740.2</v>
      </c>
      <c r="I476" s="2">
        <v>4441.2</v>
      </c>
      <c r="J476" t="s">
        <v>155</v>
      </c>
    </row>
    <row r="477" spans="1:10" x14ac:dyDescent="0.3">
      <c r="A477">
        <v>476</v>
      </c>
      <c r="B477" t="s">
        <v>37</v>
      </c>
      <c r="C477" s="1">
        <v>45296</v>
      </c>
      <c r="D477" t="s">
        <v>113</v>
      </c>
      <c r="E477" t="s">
        <v>117</v>
      </c>
      <c r="F477" t="s">
        <v>128</v>
      </c>
      <c r="G477">
        <v>6</v>
      </c>
      <c r="H477">
        <v>829.1</v>
      </c>
      <c r="I477" s="2">
        <v>4974.6000000000004</v>
      </c>
      <c r="J477" t="s">
        <v>148</v>
      </c>
    </row>
    <row r="478" spans="1:10" x14ac:dyDescent="0.3">
      <c r="A478">
        <v>477</v>
      </c>
      <c r="B478" t="s">
        <v>105</v>
      </c>
      <c r="C478" s="1">
        <v>45445</v>
      </c>
      <c r="D478" t="s">
        <v>110</v>
      </c>
      <c r="E478" t="s">
        <v>117</v>
      </c>
      <c r="F478" t="s">
        <v>133</v>
      </c>
      <c r="G478">
        <v>4</v>
      </c>
      <c r="H478">
        <v>4331.38</v>
      </c>
      <c r="I478" s="2">
        <v>17325.52</v>
      </c>
      <c r="J478" t="s">
        <v>153</v>
      </c>
    </row>
    <row r="479" spans="1:10" x14ac:dyDescent="0.3">
      <c r="A479">
        <v>478</v>
      </c>
      <c r="B479" t="s">
        <v>46</v>
      </c>
      <c r="C479" s="1">
        <v>45541</v>
      </c>
      <c r="D479" t="s">
        <v>110</v>
      </c>
      <c r="E479" t="s">
        <v>115</v>
      </c>
      <c r="F479" t="s">
        <v>130</v>
      </c>
      <c r="G479">
        <v>8</v>
      </c>
      <c r="H479">
        <v>2262</v>
      </c>
      <c r="I479" s="2">
        <v>18096</v>
      </c>
      <c r="J479" t="s">
        <v>150</v>
      </c>
    </row>
    <row r="480" spans="1:10" x14ac:dyDescent="0.3">
      <c r="A480">
        <v>479</v>
      </c>
      <c r="B480" t="s">
        <v>55</v>
      </c>
      <c r="C480" s="1">
        <v>45494</v>
      </c>
      <c r="D480" t="s">
        <v>110</v>
      </c>
      <c r="E480" t="s">
        <v>118</v>
      </c>
      <c r="F480" t="s">
        <v>134</v>
      </c>
      <c r="G480">
        <v>2</v>
      </c>
      <c r="H480">
        <v>3656.01</v>
      </c>
      <c r="I480" s="2">
        <v>7312.02</v>
      </c>
      <c r="J480" t="s">
        <v>154</v>
      </c>
    </row>
    <row r="481" spans="1:10" x14ac:dyDescent="0.3">
      <c r="A481">
        <v>480</v>
      </c>
      <c r="B481" t="s">
        <v>25</v>
      </c>
      <c r="C481" s="1">
        <v>45510</v>
      </c>
      <c r="D481" t="s">
        <v>112</v>
      </c>
      <c r="E481" t="s">
        <v>117</v>
      </c>
      <c r="F481" t="s">
        <v>125</v>
      </c>
      <c r="G481">
        <v>4</v>
      </c>
      <c r="H481">
        <v>4052.29</v>
      </c>
      <c r="I481" s="2">
        <v>16209.16</v>
      </c>
      <c r="J481" t="s">
        <v>145</v>
      </c>
    </row>
    <row r="482" spans="1:10" x14ac:dyDescent="0.3">
      <c r="A482">
        <v>481</v>
      </c>
      <c r="B482" t="s">
        <v>79</v>
      </c>
      <c r="C482" s="1">
        <v>45339</v>
      </c>
      <c r="D482" t="s">
        <v>111</v>
      </c>
      <c r="E482" t="s">
        <v>118</v>
      </c>
      <c r="F482" t="s">
        <v>129</v>
      </c>
      <c r="G482">
        <v>4</v>
      </c>
      <c r="H482">
        <v>115.52</v>
      </c>
      <c r="I482" s="2">
        <v>462.08</v>
      </c>
      <c r="J482" t="s">
        <v>149</v>
      </c>
    </row>
    <row r="483" spans="1:10" x14ac:dyDescent="0.3">
      <c r="A483">
        <v>482</v>
      </c>
      <c r="B483" t="s">
        <v>76</v>
      </c>
      <c r="C483" s="1">
        <v>45516</v>
      </c>
      <c r="D483" t="s">
        <v>110</v>
      </c>
      <c r="E483" t="s">
        <v>115</v>
      </c>
      <c r="F483" t="s">
        <v>123</v>
      </c>
      <c r="G483">
        <v>6</v>
      </c>
      <c r="H483">
        <v>1354.63</v>
      </c>
      <c r="I483" s="2">
        <v>8127.78</v>
      </c>
      <c r="J483" t="s">
        <v>143</v>
      </c>
    </row>
    <row r="484" spans="1:10" x14ac:dyDescent="0.3">
      <c r="A484">
        <v>483</v>
      </c>
      <c r="B484" t="s">
        <v>56</v>
      </c>
      <c r="C484" s="1">
        <v>45304</v>
      </c>
      <c r="D484" t="s">
        <v>111</v>
      </c>
      <c r="E484" t="s">
        <v>114</v>
      </c>
      <c r="F484" t="s">
        <v>119</v>
      </c>
      <c r="G484">
        <v>7</v>
      </c>
      <c r="H484">
        <v>193.67</v>
      </c>
      <c r="I484" s="2">
        <v>1355.69</v>
      </c>
      <c r="J484" t="s">
        <v>139</v>
      </c>
    </row>
    <row r="485" spans="1:10" x14ac:dyDescent="0.3">
      <c r="A485">
        <v>484</v>
      </c>
      <c r="B485" t="s">
        <v>14</v>
      </c>
      <c r="C485" s="1">
        <v>45313</v>
      </c>
      <c r="D485" t="s">
        <v>113</v>
      </c>
      <c r="E485" t="s">
        <v>115</v>
      </c>
      <c r="F485" t="s">
        <v>123</v>
      </c>
      <c r="G485">
        <v>6</v>
      </c>
      <c r="H485">
        <v>2683.41</v>
      </c>
      <c r="I485" s="2">
        <v>16100.46</v>
      </c>
      <c r="J485" t="s">
        <v>143</v>
      </c>
    </row>
    <row r="486" spans="1:10" x14ac:dyDescent="0.3">
      <c r="A486">
        <v>485</v>
      </c>
      <c r="B486" t="s">
        <v>33</v>
      </c>
      <c r="C486" s="1">
        <v>45417</v>
      </c>
      <c r="D486" t="s">
        <v>113</v>
      </c>
      <c r="E486" t="s">
        <v>117</v>
      </c>
      <c r="F486" t="s">
        <v>127</v>
      </c>
      <c r="G486">
        <v>9</v>
      </c>
      <c r="H486">
        <v>1465.92</v>
      </c>
      <c r="I486" s="2">
        <v>13193.28</v>
      </c>
      <c r="J486" t="s">
        <v>147</v>
      </c>
    </row>
    <row r="487" spans="1:10" x14ac:dyDescent="0.3">
      <c r="A487">
        <v>486</v>
      </c>
      <c r="B487" t="s">
        <v>70</v>
      </c>
      <c r="C487" s="1">
        <v>45577</v>
      </c>
      <c r="D487" t="s">
        <v>113</v>
      </c>
      <c r="E487" t="s">
        <v>115</v>
      </c>
      <c r="F487" t="s">
        <v>123</v>
      </c>
      <c r="G487">
        <v>2</v>
      </c>
      <c r="H487">
        <v>3416.42</v>
      </c>
      <c r="I487" s="2">
        <v>6832.84</v>
      </c>
      <c r="J487" t="s">
        <v>143</v>
      </c>
    </row>
    <row r="488" spans="1:10" x14ac:dyDescent="0.3">
      <c r="A488">
        <v>487</v>
      </c>
      <c r="B488" t="s">
        <v>58</v>
      </c>
      <c r="C488" s="1">
        <v>45321</v>
      </c>
      <c r="D488" t="s">
        <v>111</v>
      </c>
      <c r="E488" t="s">
        <v>115</v>
      </c>
      <c r="F488" t="s">
        <v>130</v>
      </c>
      <c r="G488">
        <v>4</v>
      </c>
      <c r="H488">
        <v>4187.3100000000004</v>
      </c>
      <c r="I488" s="2">
        <v>16749.240000000002</v>
      </c>
      <c r="J488" t="s">
        <v>150</v>
      </c>
    </row>
    <row r="489" spans="1:10" x14ac:dyDescent="0.3">
      <c r="A489">
        <v>488</v>
      </c>
      <c r="B489" t="s">
        <v>90</v>
      </c>
      <c r="C489" s="1">
        <v>45328</v>
      </c>
      <c r="D489" t="s">
        <v>113</v>
      </c>
      <c r="E489" t="s">
        <v>114</v>
      </c>
      <c r="F489" t="s">
        <v>132</v>
      </c>
      <c r="G489">
        <v>9</v>
      </c>
      <c r="H489">
        <v>3853.97</v>
      </c>
      <c r="I489" s="2">
        <v>34685.730000000003</v>
      </c>
      <c r="J489" t="s">
        <v>152</v>
      </c>
    </row>
    <row r="490" spans="1:10" x14ac:dyDescent="0.3">
      <c r="A490">
        <v>489</v>
      </c>
      <c r="B490" t="s">
        <v>86</v>
      </c>
      <c r="C490" s="1">
        <v>45326</v>
      </c>
      <c r="D490" t="s">
        <v>112</v>
      </c>
      <c r="E490" t="s">
        <v>118</v>
      </c>
      <c r="F490" t="s">
        <v>137</v>
      </c>
      <c r="G490">
        <v>4</v>
      </c>
      <c r="H490">
        <v>2094.8200000000002</v>
      </c>
      <c r="I490" s="2">
        <v>8379.2800000000007</v>
      </c>
      <c r="J490" t="s">
        <v>157</v>
      </c>
    </row>
    <row r="491" spans="1:10" x14ac:dyDescent="0.3">
      <c r="A491">
        <v>490</v>
      </c>
      <c r="B491" t="s">
        <v>10</v>
      </c>
      <c r="C491" s="1">
        <v>45363</v>
      </c>
      <c r="D491" t="s">
        <v>111</v>
      </c>
      <c r="E491" t="s">
        <v>117</v>
      </c>
      <c r="F491" t="s">
        <v>128</v>
      </c>
      <c r="G491">
        <v>2</v>
      </c>
      <c r="H491">
        <v>129.83000000000001</v>
      </c>
      <c r="I491" s="2">
        <v>259.66000000000003</v>
      </c>
      <c r="J491" t="s">
        <v>148</v>
      </c>
    </row>
    <row r="492" spans="1:10" x14ac:dyDescent="0.3">
      <c r="A492">
        <v>491</v>
      </c>
      <c r="B492" t="s">
        <v>36</v>
      </c>
      <c r="C492" s="1">
        <v>45414</v>
      </c>
      <c r="D492" t="s">
        <v>112</v>
      </c>
      <c r="E492" t="s">
        <v>116</v>
      </c>
      <c r="F492" t="s">
        <v>126</v>
      </c>
      <c r="G492">
        <v>1</v>
      </c>
      <c r="H492">
        <v>2553.06</v>
      </c>
      <c r="I492" s="2">
        <v>2553.06</v>
      </c>
      <c r="J492" t="s">
        <v>146</v>
      </c>
    </row>
    <row r="493" spans="1:10" x14ac:dyDescent="0.3">
      <c r="A493">
        <v>492</v>
      </c>
      <c r="B493" t="s">
        <v>19</v>
      </c>
      <c r="C493" s="1">
        <v>45479</v>
      </c>
      <c r="D493" t="s">
        <v>112</v>
      </c>
      <c r="E493" t="s">
        <v>116</v>
      </c>
      <c r="F493" t="s">
        <v>124</v>
      </c>
      <c r="G493">
        <v>8</v>
      </c>
      <c r="H493">
        <v>1546.92</v>
      </c>
      <c r="I493" s="2">
        <v>12375.36</v>
      </c>
      <c r="J493" t="s">
        <v>144</v>
      </c>
    </row>
    <row r="494" spans="1:10" x14ac:dyDescent="0.3">
      <c r="A494">
        <v>493</v>
      </c>
      <c r="B494" t="s">
        <v>92</v>
      </c>
      <c r="C494" s="1">
        <v>45586</v>
      </c>
      <c r="D494" t="s">
        <v>111</v>
      </c>
      <c r="E494" t="s">
        <v>115</v>
      </c>
      <c r="F494" t="s">
        <v>135</v>
      </c>
      <c r="G494">
        <v>7</v>
      </c>
      <c r="H494">
        <v>2434.54</v>
      </c>
      <c r="I494" s="2">
        <v>17041.78</v>
      </c>
      <c r="J494" t="s">
        <v>155</v>
      </c>
    </row>
    <row r="495" spans="1:10" x14ac:dyDescent="0.3">
      <c r="A495">
        <v>494</v>
      </c>
      <c r="B495" t="s">
        <v>37</v>
      </c>
      <c r="C495" s="1">
        <v>45524</v>
      </c>
      <c r="D495" t="s">
        <v>112</v>
      </c>
      <c r="E495" t="s">
        <v>114</v>
      </c>
      <c r="F495" t="s">
        <v>122</v>
      </c>
      <c r="G495">
        <v>5</v>
      </c>
      <c r="H495">
        <v>1151.68</v>
      </c>
      <c r="I495" s="2">
        <v>5758.4</v>
      </c>
      <c r="J495" t="s">
        <v>142</v>
      </c>
    </row>
    <row r="496" spans="1:10" x14ac:dyDescent="0.3">
      <c r="A496">
        <v>495</v>
      </c>
      <c r="B496" t="s">
        <v>89</v>
      </c>
      <c r="C496" s="1">
        <v>45572</v>
      </c>
      <c r="D496" t="s">
        <v>112</v>
      </c>
      <c r="E496" t="s">
        <v>118</v>
      </c>
      <c r="F496" t="s">
        <v>134</v>
      </c>
      <c r="G496">
        <v>7</v>
      </c>
      <c r="H496">
        <v>4347.97</v>
      </c>
      <c r="I496" s="2">
        <v>30435.79</v>
      </c>
      <c r="J496" t="s">
        <v>154</v>
      </c>
    </row>
    <row r="497" spans="1:10" x14ac:dyDescent="0.3">
      <c r="A497">
        <v>496</v>
      </c>
      <c r="B497" t="s">
        <v>30</v>
      </c>
      <c r="C497" s="1">
        <v>45301</v>
      </c>
      <c r="D497" t="s">
        <v>110</v>
      </c>
      <c r="E497" t="s">
        <v>117</v>
      </c>
      <c r="F497" t="s">
        <v>133</v>
      </c>
      <c r="G497">
        <v>2</v>
      </c>
      <c r="H497">
        <v>1285.47</v>
      </c>
      <c r="I497" s="2">
        <v>2570.94</v>
      </c>
      <c r="J497" t="s">
        <v>153</v>
      </c>
    </row>
    <row r="498" spans="1:10" x14ac:dyDescent="0.3">
      <c r="A498">
        <v>497</v>
      </c>
      <c r="B498" t="s">
        <v>24</v>
      </c>
      <c r="C498" s="1">
        <v>45344</v>
      </c>
      <c r="D498" t="s">
        <v>110</v>
      </c>
      <c r="E498" t="s">
        <v>117</v>
      </c>
      <c r="F498" t="s">
        <v>128</v>
      </c>
      <c r="G498">
        <v>7</v>
      </c>
      <c r="H498">
        <v>3631.21</v>
      </c>
      <c r="I498" s="2">
        <v>25418.47</v>
      </c>
      <c r="J498" t="s">
        <v>148</v>
      </c>
    </row>
    <row r="499" spans="1:10" x14ac:dyDescent="0.3">
      <c r="A499">
        <v>498</v>
      </c>
      <c r="B499" t="s">
        <v>86</v>
      </c>
      <c r="C499" s="1">
        <v>45410</v>
      </c>
      <c r="D499" t="s">
        <v>111</v>
      </c>
      <c r="E499" t="s">
        <v>116</v>
      </c>
      <c r="F499" t="s">
        <v>124</v>
      </c>
      <c r="G499">
        <v>8</v>
      </c>
      <c r="H499">
        <v>3184.83</v>
      </c>
      <c r="I499" s="2">
        <v>25478.639999999999</v>
      </c>
      <c r="J499" t="s">
        <v>144</v>
      </c>
    </row>
    <row r="500" spans="1:10" x14ac:dyDescent="0.3">
      <c r="A500">
        <v>499</v>
      </c>
      <c r="B500" t="s">
        <v>59</v>
      </c>
      <c r="C500" s="1">
        <v>45495</v>
      </c>
      <c r="D500" t="s">
        <v>113</v>
      </c>
      <c r="E500" t="s">
        <v>118</v>
      </c>
      <c r="F500" t="s">
        <v>134</v>
      </c>
      <c r="G500">
        <v>1</v>
      </c>
      <c r="H500">
        <v>2604.5300000000002</v>
      </c>
      <c r="I500" s="2">
        <v>2604.5300000000002</v>
      </c>
      <c r="J500" t="s">
        <v>154</v>
      </c>
    </row>
    <row r="501" spans="1:10" x14ac:dyDescent="0.3">
      <c r="A501">
        <v>500</v>
      </c>
      <c r="B501" t="s">
        <v>101</v>
      </c>
      <c r="C501" s="1">
        <v>45565</v>
      </c>
      <c r="D501" t="s">
        <v>110</v>
      </c>
      <c r="E501" t="s">
        <v>118</v>
      </c>
      <c r="F501" t="s">
        <v>134</v>
      </c>
      <c r="G501">
        <v>8</v>
      </c>
      <c r="H501">
        <v>4212.76</v>
      </c>
      <c r="I501" s="2">
        <v>33702.080000000002</v>
      </c>
      <c r="J501" t="s">
        <v>154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BA8206-E96F-47FA-BE03-E0E1032191AE}">
  <dimension ref="A1:B16"/>
  <sheetViews>
    <sheetView workbookViewId="0">
      <selection activeCell="B1" sqref="B1"/>
    </sheetView>
  </sheetViews>
  <sheetFormatPr defaultRowHeight="14.4" x14ac:dyDescent="0.3"/>
  <cols>
    <col min="1" max="1" width="17.88671875" bestFit="1" customWidth="1"/>
    <col min="2" max="2" width="11" bestFit="1" customWidth="1"/>
  </cols>
  <sheetData>
    <row r="1" spans="1:2" x14ac:dyDescent="0.3">
      <c r="A1" t="s">
        <v>159</v>
      </c>
      <c r="B1">
        <f>ROUND(SUM('Sheet1 - Given Sheet'!I:I),2)</f>
        <v>6263982.1600000001</v>
      </c>
    </row>
    <row r="2" spans="1:2" x14ac:dyDescent="0.3">
      <c r="A2" t="s">
        <v>160</v>
      </c>
      <c r="B2" s="2">
        <f>AVERAGE('Sheet1 - Given Sheet'!I:I)</f>
        <v>12527.964320000001</v>
      </c>
    </row>
    <row r="4" spans="1:2" x14ac:dyDescent="0.3">
      <c r="A4" t="s">
        <v>165</v>
      </c>
    </row>
    <row r="5" spans="1:2" x14ac:dyDescent="0.3">
      <c r="A5" t="s">
        <v>121</v>
      </c>
      <c r="B5">
        <f>SUMIF('Sheet1 - Given Sheet'!$F:$F, "Comics", 'Sheet1 - Given Sheet'!$I:$I)</f>
        <v>473835.58999999991</v>
      </c>
    </row>
    <row r="6" spans="1:2" x14ac:dyDescent="0.3">
      <c r="A6" t="s">
        <v>128</v>
      </c>
      <c r="B6">
        <f>SUMIF('Sheet1 - Given Sheet'!$F:$F, "Rice", 'Sheet1 - Given Sheet'!$I:$I)</f>
        <v>405999.28</v>
      </c>
    </row>
    <row r="7" spans="1:2" x14ac:dyDescent="0.3">
      <c r="A7" t="s">
        <v>134</v>
      </c>
      <c r="B7">
        <f>SUMIF('Sheet1 - Given Sheet'!$F:$F, "Headphones", 'Sheet1 - Given Sheet'!$I:$I)</f>
        <v>391800.59000000008</v>
      </c>
    </row>
    <row r="8" spans="1:2" x14ac:dyDescent="0.3">
      <c r="A8" t="s">
        <v>132</v>
      </c>
      <c r="B8">
        <f>SUMIF('Sheet1 - Given Sheet'!$F:$F, "Magazine", 'Sheet1 - Given Sheet'!$I:$I)</f>
        <v>361813.98</v>
      </c>
    </row>
    <row r="9" spans="1:2" x14ac:dyDescent="0.3">
      <c r="A9" t="s">
        <v>130</v>
      </c>
      <c r="B9">
        <f>SUMIF('Sheet1 - Given Sheet'!$F:$F, "T-shirt", 'Sheet1 - Given Sheet'!$I:$I)</f>
        <v>349824.67000000004</v>
      </c>
    </row>
    <row r="12" spans="1:2" x14ac:dyDescent="0.3">
      <c r="A12" t="s">
        <v>181</v>
      </c>
    </row>
    <row r="13" spans="1:2" x14ac:dyDescent="0.3">
      <c r="A13" t="s">
        <v>1</v>
      </c>
      <c r="B13" t="s">
        <v>179</v>
      </c>
    </row>
    <row r="14" spans="1:2" x14ac:dyDescent="0.3">
      <c r="A14" s="4" t="s">
        <v>20</v>
      </c>
      <c r="B14" s="2">
        <v>179209</v>
      </c>
    </row>
    <row r="15" spans="1:2" x14ac:dyDescent="0.3">
      <c r="A15" s="4" t="s">
        <v>31</v>
      </c>
      <c r="B15" s="2">
        <v>160072.99000000002</v>
      </c>
    </row>
    <row r="16" spans="1:2" x14ac:dyDescent="0.3">
      <c r="A16" s="4" t="s">
        <v>86</v>
      </c>
      <c r="B16" s="2">
        <v>144563.81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F76FA4-8FEB-41FC-9F78-EE0BF8632374}">
  <dimension ref="A2:B24"/>
  <sheetViews>
    <sheetView workbookViewId="0">
      <selection activeCell="D12" sqref="D12"/>
    </sheetView>
  </sheetViews>
  <sheetFormatPr defaultRowHeight="14.4" x14ac:dyDescent="0.3"/>
  <cols>
    <col min="1" max="1" width="16.6640625" bestFit="1" customWidth="1"/>
    <col min="2" max="2" width="24.21875" bestFit="1" customWidth="1"/>
    <col min="4" max="4" width="12.5546875" bestFit="1" customWidth="1"/>
    <col min="5" max="5" width="19.77734375" bestFit="1" customWidth="1"/>
  </cols>
  <sheetData>
    <row r="2" spans="1:2" ht="15.6" x14ac:dyDescent="0.3">
      <c r="A2" s="16" t="s">
        <v>180</v>
      </c>
    </row>
    <row r="3" spans="1:2" x14ac:dyDescent="0.3">
      <c r="A3" s="3" t="s">
        <v>161</v>
      </c>
      <c r="B3" t="s">
        <v>164</v>
      </c>
    </row>
    <row r="4" spans="1:2" x14ac:dyDescent="0.3">
      <c r="A4" s="4" t="s">
        <v>121</v>
      </c>
      <c r="B4" s="2">
        <v>473835.58999999991</v>
      </c>
    </row>
    <row r="5" spans="1:2" x14ac:dyDescent="0.3">
      <c r="A5" s="4" t="s">
        <v>128</v>
      </c>
      <c r="B5" s="2">
        <v>405999.28</v>
      </c>
    </row>
    <row r="6" spans="1:2" x14ac:dyDescent="0.3">
      <c r="A6" s="4" t="s">
        <v>134</v>
      </c>
      <c r="B6" s="2">
        <v>391800.59000000008</v>
      </c>
    </row>
    <row r="7" spans="1:2" x14ac:dyDescent="0.3">
      <c r="A7" s="4" t="s">
        <v>132</v>
      </c>
      <c r="B7" s="2">
        <v>361813.98</v>
      </c>
    </row>
    <row r="8" spans="1:2" x14ac:dyDescent="0.3">
      <c r="A8" s="4" t="s">
        <v>130</v>
      </c>
      <c r="B8" s="2">
        <v>349824.67000000004</v>
      </c>
    </row>
    <row r="9" spans="1:2" x14ac:dyDescent="0.3">
      <c r="A9" s="4" t="s">
        <v>125</v>
      </c>
      <c r="B9" s="2">
        <v>333193.93</v>
      </c>
    </row>
    <row r="10" spans="1:2" x14ac:dyDescent="0.3">
      <c r="A10" s="4" t="s">
        <v>124</v>
      </c>
      <c r="B10" s="2">
        <v>329406.10000000003</v>
      </c>
    </row>
    <row r="11" spans="1:2" x14ac:dyDescent="0.3">
      <c r="A11" s="4" t="s">
        <v>138</v>
      </c>
      <c r="B11" s="2">
        <v>325972.68000000005</v>
      </c>
    </row>
    <row r="12" spans="1:2" x14ac:dyDescent="0.3">
      <c r="A12" s="4" t="s">
        <v>127</v>
      </c>
      <c r="B12" s="2">
        <v>319898.73999999993</v>
      </c>
    </row>
    <row r="13" spans="1:2" x14ac:dyDescent="0.3">
      <c r="A13" s="4" t="s">
        <v>133</v>
      </c>
      <c r="B13" s="2">
        <v>312136.77999999997</v>
      </c>
    </row>
    <row r="14" spans="1:2" x14ac:dyDescent="0.3">
      <c r="A14" s="4" t="s">
        <v>122</v>
      </c>
      <c r="B14" s="2">
        <v>307370.10000000009</v>
      </c>
    </row>
    <row r="15" spans="1:2" x14ac:dyDescent="0.3">
      <c r="A15" s="4" t="s">
        <v>119</v>
      </c>
      <c r="B15" s="2">
        <v>305853.5</v>
      </c>
    </row>
    <row r="16" spans="1:2" x14ac:dyDescent="0.3">
      <c r="A16" s="4" t="s">
        <v>135</v>
      </c>
      <c r="B16" s="2">
        <v>288482.33999999997</v>
      </c>
    </row>
    <row r="17" spans="1:2" x14ac:dyDescent="0.3">
      <c r="A17" s="4" t="s">
        <v>136</v>
      </c>
      <c r="B17" s="2">
        <v>285947.57</v>
      </c>
    </row>
    <row r="18" spans="1:2" x14ac:dyDescent="0.3">
      <c r="A18" s="4" t="s">
        <v>123</v>
      </c>
      <c r="B18" s="2">
        <v>270643.34000000003</v>
      </c>
    </row>
    <row r="19" spans="1:2" x14ac:dyDescent="0.3">
      <c r="A19" s="4" t="s">
        <v>129</v>
      </c>
      <c r="B19" s="2">
        <v>261386.42999999996</v>
      </c>
    </row>
    <row r="20" spans="1:2" x14ac:dyDescent="0.3">
      <c r="A20" s="4" t="s">
        <v>131</v>
      </c>
      <c r="B20" s="2">
        <v>254710.03000000003</v>
      </c>
    </row>
    <row r="21" spans="1:2" x14ac:dyDescent="0.3">
      <c r="A21" s="4" t="s">
        <v>120</v>
      </c>
      <c r="B21" s="2">
        <v>234174.64</v>
      </c>
    </row>
    <row r="22" spans="1:2" x14ac:dyDescent="0.3">
      <c r="A22" s="4" t="s">
        <v>126</v>
      </c>
      <c r="B22" s="2">
        <v>226393.72999999998</v>
      </c>
    </row>
    <row r="23" spans="1:2" x14ac:dyDescent="0.3">
      <c r="A23" s="4" t="s">
        <v>137</v>
      </c>
      <c r="B23" s="2">
        <v>225138.14</v>
      </c>
    </row>
    <row r="24" spans="1:2" x14ac:dyDescent="0.3">
      <c r="A24" s="4" t="s">
        <v>162</v>
      </c>
      <c r="B24" s="2">
        <v>6263982.1599999983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054240-1F45-4CF8-969B-51F423788362}">
  <dimension ref="A1:G104"/>
  <sheetViews>
    <sheetView workbookViewId="0">
      <selection activeCell="B11" sqref="B11"/>
    </sheetView>
  </sheetViews>
  <sheetFormatPr defaultRowHeight="14.4" x14ac:dyDescent="0.3"/>
  <cols>
    <col min="1" max="1" width="17" bestFit="1" customWidth="1"/>
    <col min="2" max="2" width="12" bestFit="1" customWidth="1"/>
    <col min="3" max="3" width="18.21875" bestFit="1" customWidth="1"/>
    <col min="6" max="6" width="12.5546875" bestFit="1" customWidth="1"/>
    <col min="7" max="7" width="19.77734375" bestFit="1" customWidth="1"/>
  </cols>
  <sheetData>
    <row r="1" spans="1:7" ht="16.2" x14ac:dyDescent="0.35">
      <c r="A1" s="8" t="s">
        <v>166</v>
      </c>
    </row>
    <row r="2" spans="1:7" ht="16.2" x14ac:dyDescent="0.35">
      <c r="A2" s="16" t="s">
        <v>186</v>
      </c>
      <c r="B2" s="16" t="s">
        <v>187</v>
      </c>
      <c r="C2" s="16" t="s">
        <v>188</v>
      </c>
      <c r="F2" s="8" t="s">
        <v>196</v>
      </c>
    </row>
    <row r="3" spans="1:7" x14ac:dyDescent="0.3">
      <c r="F3" s="3" t="s">
        <v>161</v>
      </c>
      <c r="G3" t="s">
        <v>163</v>
      </c>
    </row>
    <row r="4" spans="1:7" x14ac:dyDescent="0.3">
      <c r="A4" t="s">
        <v>167</v>
      </c>
      <c r="B4">
        <f>SUMIFS('Sheet1 - Given Sheet'!$I:$I, 'Sheet1 - Given Sheet'!$C:$C, "&gt;="&amp;DATE(2024,1,1), 'Sheet1 - Given Sheet'!$C:$C, "&lt;"&amp;DATE(2024,2,1))</f>
        <v>796530.73999999964</v>
      </c>
      <c r="C4">
        <v>0</v>
      </c>
      <c r="F4" s="4" t="s">
        <v>20</v>
      </c>
      <c r="G4" s="2">
        <v>179209</v>
      </c>
    </row>
    <row r="5" spans="1:7" x14ac:dyDescent="0.3">
      <c r="A5" t="s">
        <v>168</v>
      </c>
      <c r="B5">
        <f>SUMIFS('Sheet1 - Given Sheet'!$I:$I, 'Sheet1 - Given Sheet'!$C:$C, "&gt;="&amp;DATE(2024,2,1), 'Sheet1 - Given Sheet'!$C:$C, "&lt;"&amp;DATE(2024,3,1))</f>
        <v>579576.01</v>
      </c>
      <c r="C5">
        <f t="shared" ref="C5:C15" si="0">((B5-B4)/B5)*100</f>
        <v>-37.433352357010023</v>
      </c>
      <c r="F5" s="4" t="s">
        <v>31</v>
      </c>
      <c r="G5" s="2">
        <v>160072.99000000002</v>
      </c>
    </row>
    <row r="6" spans="1:7" x14ac:dyDescent="0.3">
      <c r="A6" t="s">
        <v>169</v>
      </c>
      <c r="B6">
        <f>SUMIFS('Sheet1 - Given Sheet'!$I:$I, 'Sheet1 - Given Sheet'!$C:$C, "&gt;="&amp;DATE(2024,3,1), 'Sheet1 - Given Sheet'!$C:$C, "&lt;"&amp;DATE(2024,4,1))</f>
        <v>527151.06000000017</v>
      </c>
      <c r="C6">
        <f t="shared" si="0"/>
        <v>-9.9449577128802176</v>
      </c>
      <c r="F6" s="4" t="s">
        <v>86</v>
      </c>
      <c r="G6" s="2">
        <v>144563.81</v>
      </c>
    </row>
    <row r="7" spans="1:7" x14ac:dyDescent="0.3">
      <c r="A7" t="s">
        <v>170</v>
      </c>
      <c r="B7">
        <f>SUMIFS('Sheet1 - Given Sheet'!$I:$I, 'Sheet1 - Given Sheet'!$C:$C, "&gt;="&amp;DATE(2024,4,1), 'Sheet1 - Given Sheet'!$C:$C, "&lt;"&amp;DATE(2024,5,1))</f>
        <v>603609.10999999987</v>
      </c>
      <c r="C7">
        <f t="shared" si="0"/>
        <v>12.666815118148186</v>
      </c>
      <c r="F7" s="4" t="s">
        <v>37</v>
      </c>
      <c r="G7" s="2">
        <v>143915.18</v>
      </c>
    </row>
    <row r="8" spans="1:7" x14ac:dyDescent="0.3">
      <c r="A8" t="s">
        <v>171</v>
      </c>
      <c r="B8">
        <f>SUMIFS('Sheet1 - Given Sheet'!$I:$I, 'Sheet1 - Given Sheet'!$C:$C, "&gt;="&amp;DATE(2024,5,1), 'Sheet1 - Given Sheet'!$C:$C, "&lt;"&amp;DATE(2024,6,1))</f>
        <v>605913.90000000014</v>
      </c>
      <c r="C8">
        <f t="shared" si="0"/>
        <v>0.38038242727230215</v>
      </c>
      <c r="F8" s="4" t="s">
        <v>23</v>
      </c>
      <c r="G8" s="2">
        <v>142289.29999999999</v>
      </c>
    </row>
    <row r="9" spans="1:7" x14ac:dyDescent="0.3">
      <c r="A9" t="s">
        <v>172</v>
      </c>
      <c r="B9">
        <f>SUMIFS('Sheet1 - Given Sheet'!$I:$I, 'Sheet1 - Given Sheet'!$C:$C, "&gt;="&amp;DATE(2024,6,1), 'Sheet1 - Given Sheet'!$C:$C, "&lt;"&amp;DATE(2024,7,1))</f>
        <v>700538.82000000018</v>
      </c>
      <c r="C9">
        <f t="shared" si="0"/>
        <v>13.507448452321317</v>
      </c>
      <c r="F9" s="4" t="s">
        <v>12</v>
      </c>
      <c r="G9" s="2">
        <v>135642.19</v>
      </c>
    </row>
    <row r="10" spans="1:7" x14ac:dyDescent="0.3">
      <c r="A10" t="s">
        <v>173</v>
      </c>
      <c r="B10">
        <f>SUMIFS('Sheet1 - Given Sheet'!$I:$I, 'Sheet1 - Given Sheet'!$C:$C, "&gt;="&amp;DATE(2024,7,1), 'Sheet1 - Given Sheet'!$C:$C, "&lt;"&amp;DATE(2024,8,1))</f>
        <v>487514.80000000016</v>
      </c>
      <c r="C10">
        <f t="shared" si="0"/>
        <v>-43.695908308834916</v>
      </c>
      <c r="F10" s="4" t="s">
        <v>24</v>
      </c>
      <c r="G10" s="2">
        <v>121761.27</v>
      </c>
    </row>
    <row r="11" spans="1:7" x14ac:dyDescent="0.3">
      <c r="A11" t="s">
        <v>174</v>
      </c>
      <c r="B11">
        <f>SUMIFS('Sheet1 - Given Sheet'!$I:$I, 'Sheet1 - Given Sheet'!$C:$C, "&gt;="&amp;DATE(2024,8,1), 'Sheet1 - Given Sheet'!$C:$C, "&lt;"&amp;DATE(2024,9,1))</f>
        <v>584660.41</v>
      </c>
      <c r="C11">
        <f t="shared" si="0"/>
        <v>16.615732541219931</v>
      </c>
      <c r="F11" s="4" t="s">
        <v>28</v>
      </c>
      <c r="G11" s="2">
        <v>118090.68</v>
      </c>
    </row>
    <row r="12" spans="1:7" x14ac:dyDescent="0.3">
      <c r="A12" t="s">
        <v>175</v>
      </c>
      <c r="B12">
        <f>SUMIFS('Sheet1 - Given Sheet'!$I:$I, 'Sheet1 - Given Sheet'!$C:$C, "&gt;="&amp;DATE(2024,9,1), 'Sheet1 - Given Sheet'!$C:$C, "&lt;"&amp;DATE(2024,10,1))</f>
        <v>730754.04000000015</v>
      </c>
      <c r="C12">
        <f t="shared" si="0"/>
        <v>19.992175479454083</v>
      </c>
      <c r="F12" s="4" t="s">
        <v>78</v>
      </c>
      <c r="G12" s="2">
        <v>110716.74</v>
      </c>
    </row>
    <row r="13" spans="1:7" x14ac:dyDescent="0.3">
      <c r="A13" t="s">
        <v>176</v>
      </c>
      <c r="B13">
        <f>SUMIFS('Sheet1 - Given Sheet'!$I:$I, 'Sheet1 - Given Sheet'!$C:$C, "&gt;="&amp;DATE(2024,10,1), 'Sheet1 - Given Sheet'!$C:$C, "&lt;"&amp;DATE(2024,11,1))</f>
        <v>647733.27</v>
      </c>
      <c r="C13">
        <f t="shared" si="0"/>
        <v>-12.817123011143172</v>
      </c>
      <c r="F13" s="4" t="s">
        <v>43</v>
      </c>
      <c r="G13" s="2">
        <v>108083.44</v>
      </c>
    </row>
    <row r="14" spans="1:7" x14ac:dyDescent="0.3">
      <c r="A14" t="s">
        <v>177</v>
      </c>
      <c r="B14">
        <f>SUMIFS('Sheet1 - Given Sheet'!$I:$I, 'Sheet1 - Given Sheet'!$C:$C, "&gt;="&amp;DATE(2024,11,1), 'Sheet1 - Given Sheet'!$C:$C, "&lt;"&amp;DATE(2024,12,1))</f>
        <v>0</v>
      </c>
      <c r="C14" t="e">
        <f t="shared" si="0"/>
        <v>#DIV/0!</v>
      </c>
      <c r="F14" s="4" t="s">
        <v>11</v>
      </c>
      <c r="G14" s="2">
        <v>106797.79000000001</v>
      </c>
    </row>
    <row r="15" spans="1:7" x14ac:dyDescent="0.3">
      <c r="A15" t="s">
        <v>178</v>
      </c>
      <c r="B15">
        <f>SUMIFS('Sheet1 - Given Sheet'!$I:$I, 'Sheet1 - Given Sheet'!$C:$C, "&gt;="&amp;DATE(2024,12,1), 'Sheet1 - Given Sheet'!$C:$C, "&lt;="&amp;DATE(2024,12,31))</f>
        <v>0</v>
      </c>
      <c r="C15" t="e">
        <f t="shared" si="0"/>
        <v>#DIV/0!</v>
      </c>
      <c r="F15" s="4" t="s">
        <v>29</v>
      </c>
      <c r="G15" s="2">
        <v>106004.98000000001</v>
      </c>
    </row>
    <row r="16" spans="1:7" x14ac:dyDescent="0.3">
      <c r="F16" s="4" t="s">
        <v>16</v>
      </c>
      <c r="G16" s="2">
        <v>102003.69999999998</v>
      </c>
    </row>
    <row r="17" spans="6:7" x14ac:dyDescent="0.3">
      <c r="F17" s="4" t="s">
        <v>13</v>
      </c>
      <c r="G17" s="2">
        <v>101773.27</v>
      </c>
    </row>
    <row r="18" spans="6:7" x14ac:dyDescent="0.3">
      <c r="F18" s="4" t="s">
        <v>89</v>
      </c>
      <c r="G18" s="2">
        <v>101348.18</v>
      </c>
    </row>
    <row r="19" spans="6:7" x14ac:dyDescent="0.3">
      <c r="F19" s="4" t="s">
        <v>101</v>
      </c>
      <c r="G19" s="2">
        <v>95176.550000000017</v>
      </c>
    </row>
    <row r="20" spans="6:7" x14ac:dyDescent="0.3">
      <c r="F20" s="4" t="s">
        <v>51</v>
      </c>
      <c r="G20" s="2">
        <v>94053.43</v>
      </c>
    </row>
    <row r="21" spans="6:7" x14ac:dyDescent="0.3">
      <c r="F21" s="4" t="s">
        <v>41</v>
      </c>
      <c r="G21" s="2">
        <v>93800.94</v>
      </c>
    </row>
    <row r="22" spans="6:7" x14ac:dyDescent="0.3">
      <c r="F22" s="4" t="s">
        <v>55</v>
      </c>
      <c r="G22" s="2">
        <v>92952.59</v>
      </c>
    </row>
    <row r="23" spans="6:7" x14ac:dyDescent="0.3">
      <c r="F23" s="4" t="s">
        <v>21</v>
      </c>
      <c r="G23" s="2">
        <v>91530.709999999992</v>
      </c>
    </row>
    <row r="24" spans="6:7" x14ac:dyDescent="0.3">
      <c r="F24" s="4" t="s">
        <v>40</v>
      </c>
      <c r="G24" s="2">
        <v>88580.890000000014</v>
      </c>
    </row>
    <row r="25" spans="6:7" x14ac:dyDescent="0.3">
      <c r="F25" s="4" t="s">
        <v>46</v>
      </c>
      <c r="G25" s="2">
        <v>87899.11</v>
      </c>
    </row>
    <row r="26" spans="6:7" x14ac:dyDescent="0.3">
      <c r="F26" s="4" t="s">
        <v>105</v>
      </c>
      <c r="G26" s="2">
        <v>84641.33</v>
      </c>
    </row>
    <row r="27" spans="6:7" x14ac:dyDescent="0.3">
      <c r="F27" s="4" t="s">
        <v>71</v>
      </c>
      <c r="G27" s="2">
        <v>82126.179999999993</v>
      </c>
    </row>
    <row r="28" spans="6:7" x14ac:dyDescent="0.3">
      <c r="F28" s="4" t="s">
        <v>88</v>
      </c>
      <c r="G28" s="2">
        <v>80886.31</v>
      </c>
    </row>
    <row r="29" spans="6:7" x14ac:dyDescent="0.3">
      <c r="F29" s="4" t="s">
        <v>60</v>
      </c>
      <c r="G29" s="2">
        <v>80877.959999999992</v>
      </c>
    </row>
    <row r="30" spans="6:7" x14ac:dyDescent="0.3">
      <c r="F30" s="4" t="s">
        <v>44</v>
      </c>
      <c r="G30" s="2">
        <v>80094.900000000009</v>
      </c>
    </row>
    <row r="31" spans="6:7" x14ac:dyDescent="0.3">
      <c r="F31" s="4" t="s">
        <v>25</v>
      </c>
      <c r="G31" s="2">
        <v>77835.430000000008</v>
      </c>
    </row>
    <row r="32" spans="6:7" x14ac:dyDescent="0.3">
      <c r="F32" s="4" t="s">
        <v>61</v>
      </c>
      <c r="G32" s="2">
        <v>75052.25</v>
      </c>
    </row>
    <row r="33" spans="6:7" x14ac:dyDescent="0.3">
      <c r="F33" s="4" t="s">
        <v>62</v>
      </c>
      <c r="G33" s="2">
        <v>74332.37000000001</v>
      </c>
    </row>
    <row r="34" spans="6:7" x14ac:dyDescent="0.3">
      <c r="F34" s="4" t="s">
        <v>35</v>
      </c>
      <c r="G34" s="2">
        <v>73403.08</v>
      </c>
    </row>
    <row r="35" spans="6:7" x14ac:dyDescent="0.3">
      <c r="F35" s="4" t="s">
        <v>81</v>
      </c>
      <c r="G35" s="2">
        <v>71998.509999999995</v>
      </c>
    </row>
    <row r="36" spans="6:7" x14ac:dyDescent="0.3">
      <c r="F36" s="4" t="s">
        <v>64</v>
      </c>
      <c r="G36" s="2">
        <v>71671.86</v>
      </c>
    </row>
    <row r="37" spans="6:7" x14ac:dyDescent="0.3">
      <c r="F37" s="4" t="s">
        <v>80</v>
      </c>
      <c r="G37" s="2">
        <v>71295.959999999992</v>
      </c>
    </row>
    <row r="38" spans="6:7" x14ac:dyDescent="0.3">
      <c r="F38" s="4" t="s">
        <v>19</v>
      </c>
      <c r="G38" s="2">
        <v>69947.09</v>
      </c>
    </row>
    <row r="39" spans="6:7" x14ac:dyDescent="0.3">
      <c r="F39" s="4" t="s">
        <v>63</v>
      </c>
      <c r="G39" s="2">
        <v>69616.040000000008</v>
      </c>
    </row>
    <row r="40" spans="6:7" x14ac:dyDescent="0.3">
      <c r="F40" s="4" t="s">
        <v>73</v>
      </c>
      <c r="G40" s="2">
        <v>69388.75</v>
      </c>
    </row>
    <row r="41" spans="6:7" x14ac:dyDescent="0.3">
      <c r="F41" s="4" t="s">
        <v>36</v>
      </c>
      <c r="G41" s="2">
        <v>69234.33</v>
      </c>
    </row>
    <row r="42" spans="6:7" x14ac:dyDescent="0.3">
      <c r="F42" s="4" t="s">
        <v>49</v>
      </c>
      <c r="G42" s="2">
        <v>67397.69</v>
      </c>
    </row>
    <row r="43" spans="6:7" x14ac:dyDescent="0.3">
      <c r="F43" s="4" t="s">
        <v>67</v>
      </c>
      <c r="G43" s="2">
        <v>66097.2</v>
      </c>
    </row>
    <row r="44" spans="6:7" x14ac:dyDescent="0.3">
      <c r="F44" s="4" t="s">
        <v>79</v>
      </c>
      <c r="G44" s="2">
        <v>65856.78</v>
      </c>
    </row>
    <row r="45" spans="6:7" x14ac:dyDescent="0.3">
      <c r="F45" s="4" t="s">
        <v>68</v>
      </c>
      <c r="G45" s="2">
        <v>63784.11</v>
      </c>
    </row>
    <row r="46" spans="6:7" x14ac:dyDescent="0.3">
      <c r="F46" s="4" t="s">
        <v>10</v>
      </c>
      <c r="G46" s="2">
        <v>62920.030000000006</v>
      </c>
    </row>
    <row r="47" spans="6:7" x14ac:dyDescent="0.3">
      <c r="F47" s="4" t="s">
        <v>70</v>
      </c>
      <c r="G47" s="2">
        <v>62762.8</v>
      </c>
    </row>
    <row r="48" spans="6:7" x14ac:dyDescent="0.3">
      <c r="F48" s="4" t="s">
        <v>34</v>
      </c>
      <c r="G48" s="2">
        <v>61255.340000000004</v>
      </c>
    </row>
    <row r="49" spans="6:7" x14ac:dyDescent="0.3">
      <c r="F49" s="4" t="s">
        <v>45</v>
      </c>
      <c r="G49" s="2">
        <v>59493.03</v>
      </c>
    </row>
    <row r="50" spans="6:7" x14ac:dyDescent="0.3">
      <c r="F50" s="4" t="s">
        <v>75</v>
      </c>
      <c r="G50" s="2">
        <v>58629.36</v>
      </c>
    </row>
    <row r="51" spans="6:7" x14ac:dyDescent="0.3">
      <c r="F51" s="4" t="s">
        <v>27</v>
      </c>
      <c r="G51" s="2">
        <v>58600.61</v>
      </c>
    </row>
    <row r="52" spans="6:7" x14ac:dyDescent="0.3">
      <c r="F52" s="4" t="s">
        <v>90</v>
      </c>
      <c r="G52" s="2">
        <v>58190.060000000005</v>
      </c>
    </row>
    <row r="53" spans="6:7" x14ac:dyDescent="0.3">
      <c r="F53" s="4" t="s">
        <v>59</v>
      </c>
      <c r="G53" s="2">
        <v>57567.56</v>
      </c>
    </row>
    <row r="54" spans="6:7" x14ac:dyDescent="0.3">
      <c r="F54" s="4" t="s">
        <v>99</v>
      </c>
      <c r="G54" s="2">
        <v>56954.58</v>
      </c>
    </row>
    <row r="55" spans="6:7" x14ac:dyDescent="0.3">
      <c r="F55" s="4" t="s">
        <v>26</v>
      </c>
      <c r="G55" s="2">
        <v>56651.85</v>
      </c>
    </row>
    <row r="56" spans="6:7" x14ac:dyDescent="0.3">
      <c r="F56" s="4" t="s">
        <v>53</v>
      </c>
      <c r="G56" s="2">
        <v>56347.48</v>
      </c>
    </row>
    <row r="57" spans="6:7" x14ac:dyDescent="0.3">
      <c r="F57" s="4" t="s">
        <v>100</v>
      </c>
      <c r="G57" s="2">
        <v>55724.51</v>
      </c>
    </row>
    <row r="58" spans="6:7" x14ac:dyDescent="0.3">
      <c r="F58" s="4" t="s">
        <v>18</v>
      </c>
      <c r="G58" s="2">
        <v>54887.839999999997</v>
      </c>
    </row>
    <row r="59" spans="6:7" x14ac:dyDescent="0.3">
      <c r="F59" s="4" t="s">
        <v>94</v>
      </c>
      <c r="G59" s="2">
        <v>54816.069999999992</v>
      </c>
    </row>
    <row r="60" spans="6:7" x14ac:dyDescent="0.3">
      <c r="F60" s="4" t="s">
        <v>97</v>
      </c>
      <c r="G60" s="2">
        <v>54526.960000000006</v>
      </c>
    </row>
    <row r="61" spans="6:7" x14ac:dyDescent="0.3">
      <c r="F61" s="4" t="s">
        <v>76</v>
      </c>
      <c r="G61" s="2">
        <v>52450.119999999995</v>
      </c>
    </row>
    <row r="62" spans="6:7" x14ac:dyDescent="0.3">
      <c r="F62" s="4" t="s">
        <v>95</v>
      </c>
      <c r="G62" s="2">
        <v>51783.44</v>
      </c>
    </row>
    <row r="63" spans="6:7" x14ac:dyDescent="0.3">
      <c r="F63" s="4" t="s">
        <v>91</v>
      </c>
      <c r="G63" s="2">
        <v>50620.159999999996</v>
      </c>
    </row>
    <row r="64" spans="6:7" x14ac:dyDescent="0.3">
      <c r="F64" s="4" t="s">
        <v>57</v>
      </c>
      <c r="G64" s="2">
        <v>50533.13</v>
      </c>
    </row>
    <row r="65" spans="6:7" x14ac:dyDescent="0.3">
      <c r="F65" s="4" t="s">
        <v>96</v>
      </c>
      <c r="G65" s="2">
        <v>50513.64</v>
      </c>
    </row>
    <row r="66" spans="6:7" x14ac:dyDescent="0.3">
      <c r="F66" s="4" t="s">
        <v>14</v>
      </c>
      <c r="G66" s="2">
        <v>50049.49</v>
      </c>
    </row>
    <row r="67" spans="6:7" x14ac:dyDescent="0.3">
      <c r="F67" s="4" t="s">
        <v>52</v>
      </c>
      <c r="G67" s="2">
        <v>49424.65</v>
      </c>
    </row>
    <row r="68" spans="6:7" x14ac:dyDescent="0.3">
      <c r="F68" s="4" t="s">
        <v>93</v>
      </c>
      <c r="G68" s="2">
        <v>49139.59</v>
      </c>
    </row>
    <row r="69" spans="6:7" x14ac:dyDescent="0.3">
      <c r="F69" s="4" t="s">
        <v>58</v>
      </c>
      <c r="G69" s="2">
        <v>44520.710000000006</v>
      </c>
    </row>
    <row r="70" spans="6:7" x14ac:dyDescent="0.3">
      <c r="F70" s="4" t="s">
        <v>22</v>
      </c>
      <c r="G70" s="2">
        <v>44469.32</v>
      </c>
    </row>
    <row r="71" spans="6:7" x14ac:dyDescent="0.3">
      <c r="F71" s="4" t="s">
        <v>15</v>
      </c>
      <c r="G71" s="2">
        <v>44424.020000000004</v>
      </c>
    </row>
    <row r="72" spans="6:7" x14ac:dyDescent="0.3">
      <c r="F72" s="4" t="s">
        <v>17</v>
      </c>
      <c r="G72" s="2">
        <v>43806.849999999991</v>
      </c>
    </row>
    <row r="73" spans="6:7" x14ac:dyDescent="0.3">
      <c r="F73" s="4" t="s">
        <v>54</v>
      </c>
      <c r="G73" s="2">
        <v>43790.679999999993</v>
      </c>
    </row>
    <row r="74" spans="6:7" x14ac:dyDescent="0.3">
      <c r="F74" s="4" t="s">
        <v>85</v>
      </c>
      <c r="G74" s="2">
        <v>42790.61</v>
      </c>
    </row>
    <row r="75" spans="6:7" x14ac:dyDescent="0.3">
      <c r="F75" s="4" t="s">
        <v>50</v>
      </c>
      <c r="G75" s="2">
        <v>42343.170000000006</v>
      </c>
    </row>
    <row r="76" spans="6:7" x14ac:dyDescent="0.3">
      <c r="F76" s="4" t="s">
        <v>84</v>
      </c>
      <c r="G76" s="2">
        <v>41619.69</v>
      </c>
    </row>
    <row r="77" spans="6:7" x14ac:dyDescent="0.3">
      <c r="F77" s="4" t="s">
        <v>48</v>
      </c>
      <c r="G77" s="2">
        <v>41000.47</v>
      </c>
    </row>
    <row r="78" spans="6:7" x14ac:dyDescent="0.3">
      <c r="F78" s="4" t="s">
        <v>87</v>
      </c>
      <c r="G78" s="2">
        <v>40413.15</v>
      </c>
    </row>
    <row r="79" spans="6:7" x14ac:dyDescent="0.3">
      <c r="F79" s="4" t="s">
        <v>32</v>
      </c>
      <c r="G79" s="2">
        <v>39947.440000000002</v>
      </c>
    </row>
    <row r="80" spans="6:7" x14ac:dyDescent="0.3">
      <c r="F80" s="4" t="s">
        <v>77</v>
      </c>
      <c r="G80" s="2">
        <v>39545.759999999995</v>
      </c>
    </row>
    <row r="81" spans="6:7" x14ac:dyDescent="0.3">
      <c r="F81" s="4" t="s">
        <v>72</v>
      </c>
      <c r="G81" s="2">
        <v>39132.799999999996</v>
      </c>
    </row>
    <row r="82" spans="6:7" x14ac:dyDescent="0.3">
      <c r="F82" s="4" t="s">
        <v>33</v>
      </c>
      <c r="G82" s="2">
        <v>38390.810000000005</v>
      </c>
    </row>
    <row r="83" spans="6:7" x14ac:dyDescent="0.3">
      <c r="F83" s="4" t="s">
        <v>107</v>
      </c>
      <c r="G83" s="2">
        <v>36637.300000000003</v>
      </c>
    </row>
    <row r="84" spans="6:7" x14ac:dyDescent="0.3">
      <c r="F84" s="4" t="s">
        <v>66</v>
      </c>
      <c r="G84" s="2">
        <v>35344.6</v>
      </c>
    </row>
    <row r="85" spans="6:7" x14ac:dyDescent="0.3">
      <c r="F85" s="4" t="s">
        <v>74</v>
      </c>
      <c r="G85" s="2">
        <v>32368.16</v>
      </c>
    </row>
    <row r="86" spans="6:7" x14ac:dyDescent="0.3">
      <c r="F86" s="4" t="s">
        <v>108</v>
      </c>
      <c r="G86" s="2">
        <v>30851.07</v>
      </c>
    </row>
    <row r="87" spans="6:7" x14ac:dyDescent="0.3">
      <c r="F87" s="4" t="s">
        <v>65</v>
      </c>
      <c r="G87" s="2">
        <v>28550.87</v>
      </c>
    </row>
    <row r="88" spans="6:7" x14ac:dyDescent="0.3">
      <c r="F88" s="4" t="s">
        <v>47</v>
      </c>
      <c r="G88" s="2">
        <v>26574.9</v>
      </c>
    </row>
    <row r="89" spans="6:7" x14ac:dyDescent="0.3">
      <c r="F89" s="4" t="s">
        <v>83</v>
      </c>
      <c r="G89" s="2">
        <v>23406.54</v>
      </c>
    </row>
    <row r="90" spans="6:7" x14ac:dyDescent="0.3">
      <c r="F90" s="4" t="s">
        <v>38</v>
      </c>
      <c r="G90" s="2">
        <v>23339.78</v>
      </c>
    </row>
    <row r="91" spans="6:7" x14ac:dyDescent="0.3">
      <c r="F91" s="4" t="s">
        <v>42</v>
      </c>
      <c r="G91" s="2">
        <v>22880.31</v>
      </c>
    </row>
    <row r="92" spans="6:7" x14ac:dyDescent="0.3">
      <c r="F92" s="4" t="s">
        <v>82</v>
      </c>
      <c r="G92" s="2">
        <v>20211.919999999998</v>
      </c>
    </row>
    <row r="93" spans="6:7" x14ac:dyDescent="0.3">
      <c r="F93" s="4" t="s">
        <v>39</v>
      </c>
      <c r="G93" s="2">
        <v>19269.489999999998</v>
      </c>
    </row>
    <row r="94" spans="6:7" x14ac:dyDescent="0.3">
      <c r="F94" s="4" t="s">
        <v>92</v>
      </c>
      <c r="G94" s="2">
        <v>18871.36</v>
      </c>
    </row>
    <row r="95" spans="6:7" x14ac:dyDescent="0.3">
      <c r="F95" s="4" t="s">
        <v>103</v>
      </c>
      <c r="G95" s="2">
        <v>17433.57</v>
      </c>
    </row>
    <row r="96" spans="6:7" x14ac:dyDescent="0.3">
      <c r="F96" s="4" t="s">
        <v>104</v>
      </c>
      <c r="G96" s="2">
        <v>16998.190000000002</v>
      </c>
    </row>
    <row r="97" spans="6:7" x14ac:dyDescent="0.3">
      <c r="F97" s="4" t="s">
        <v>30</v>
      </c>
      <c r="G97" s="2">
        <v>11588.32</v>
      </c>
    </row>
    <row r="98" spans="6:7" x14ac:dyDescent="0.3">
      <c r="F98" s="4" t="s">
        <v>69</v>
      </c>
      <c r="G98" s="2">
        <v>10397.17</v>
      </c>
    </row>
    <row r="99" spans="6:7" x14ac:dyDescent="0.3">
      <c r="F99" s="4" t="s">
        <v>102</v>
      </c>
      <c r="G99" s="2">
        <v>9433.33</v>
      </c>
    </row>
    <row r="100" spans="6:7" x14ac:dyDescent="0.3">
      <c r="F100" s="4" t="s">
        <v>98</v>
      </c>
      <c r="G100" s="2">
        <v>8763.5</v>
      </c>
    </row>
    <row r="101" spans="6:7" x14ac:dyDescent="0.3">
      <c r="F101" s="4" t="s">
        <v>106</v>
      </c>
      <c r="G101" s="2">
        <v>8238.48</v>
      </c>
    </row>
    <row r="102" spans="6:7" x14ac:dyDescent="0.3">
      <c r="F102" s="4" t="s">
        <v>56</v>
      </c>
      <c r="G102" s="2">
        <v>5989.4500000000007</v>
      </c>
    </row>
    <row r="103" spans="6:7" x14ac:dyDescent="0.3">
      <c r="F103" s="4" t="s">
        <v>109</v>
      </c>
      <c r="G103" s="2">
        <v>4991.2</v>
      </c>
    </row>
    <row r="104" spans="6:7" x14ac:dyDescent="0.3">
      <c r="F104" s="4" t="s">
        <v>162</v>
      </c>
      <c r="G104" s="2">
        <v>6263982.1600000011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739811-0439-4033-9364-033A72E35C0B}">
  <dimension ref="A1:C21"/>
  <sheetViews>
    <sheetView workbookViewId="0">
      <selection activeCell="C17" sqref="C17"/>
    </sheetView>
  </sheetViews>
  <sheetFormatPr defaultRowHeight="14.4" x14ac:dyDescent="0.3"/>
  <cols>
    <col min="1" max="1" width="10.44140625" bestFit="1" customWidth="1"/>
    <col min="2" max="2" width="15.109375" bestFit="1" customWidth="1"/>
    <col min="3" max="3" width="15.44140625" bestFit="1" customWidth="1"/>
  </cols>
  <sheetData>
    <row r="1" spans="1:3" ht="15.6" x14ac:dyDescent="0.3">
      <c r="A1" s="17" t="s">
        <v>9</v>
      </c>
      <c r="B1" s="16" t="s">
        <v>4</v>
      </c>
      <c r="C1" s="16" t="s">
        <v>5</v>
      </c>
    </row>
    <row r="2" spans="1:3" x14ac:dyDescent="0.3">
      <c r="A2" t="s">
        <v>139</v>
      </c>
      <c r="B2" t="str">
        <f>IFERROR(INDEX('Sheet1 - Given Sheet'!$E:$E, MATCH(A2, 'Sheet1 - Given Sheet'!$J:$J, 0)), "Not Found")</f>
        <v>Books</v>
      </c>
      <c r="C2" t="s">
        <v>183</v>
      </c>
    </row>
    <row r="3" spans="1:3" x14ac:dyDescent="0.3">
      <c r="A3" t="s">
        <v>140</v>
      </c>
      <c r="B3" t="str">
        <f>IFERROR(INDEX('Sheet1 - Given Sheet'!$E:$E, MATCH(A3, 'Sheet1 - Given Sheet'!$J:$J, 0)), "Not Found")</f>
        <v>Fashion</v>
      </c>
      <c r="C3" t="s">
        <v>120</v>
      </c>
    </row>
    <row r="4" spans="1:3" x14ac:dyDescent="0.3">
      <c r="A4" t="s">
        <v>141</v>
      </c>
      <c r="B4" t="str">
        <f>IFERROR(INDEX('Sheet1 - Given Sheet'!$E:$E, MATCH(A4, 'Sheet1 - Given Sheet'!$J:$J, 0)), "Not Found")</f>
        <v>Books</v>
      </c>
      <c r="C4" t="s">
        <v>121</v>
      </c>
    </row>
    <row r="5" spans="1:3" x14ac:dyDescent="0.3">
      <c r="A5" t="s">
        <v>142</v>
      </c>
      <c r="B5" t="str">
        <f>IFERROR(INDEX('Sheet1 - Given Sheet'!$E:$E, MATCH(A5, 'Sheet1 - Given Sheet'!$J:$J, 0)), "Not Found")</f>
        <v>Books</v>
      </c>
      <c r="C5" t="s">
        <v>122</v>
      </c>
    </row>
    <row r="6" spans="1:3" x14ac:dyDescent="0.3">
      <c r="A6" t="s">
        <v>143</v>
      </c>
      <c r="B6" t="str">
        <f>IFERROR(INDEX('Sheet1 - Given Sheet'!$E:$E, MATCH(A6, 'Sheet1 - Given Sheet'!$J:$J, 0)), "Not Found")</f>
        <v>Fashion</v>
      </c>
      <c r="C6" t="s">
        <v>123</v>
      </c>
    </row>
    <row r="7" spans="1:3" x14ac:dyDescent="0.3">
      <c r="A7" t="s">
        <v>144</v>
      </c>
      <c r="B7" t="str">
        <f>IFERROR(INDEX('Sheet1 - Given Sheet'!$E:$E, MATCH(A7, 'Sheet1 - Given Sheet'!$J:$J, 0)), "Not Found")</f>
        <v>Home Appliances</v>
      </c>
      <c r="C7" t="s">
        <v>124</v>
      </c>
    </row>
    <row r="8" spans="1:3" x14ac:dyDescent="0.3">
      <c r="A8" t="s">
        <v>145</v>
      </c>
      <c r="B8" t="str">
        <f>IFERROR(INDEX('Sheet1 - Given Sheet'!$E:$E, MATCH(A8, 'Sheet1 - Given Sheet'!$J:$J, 0)), "Not Found")</f>
        <v>Groceries</v>
      </c>
      <c r="C8" t="s">
        <v>125</v>
      </c>
    </row>
    <row r="9" spans="1:3" x14ac:dyDescent="0.3">
      <c r="A9" t="s">
        <v>146</v>
      </c>
      <c r="B9" t="str">
        <f>IFERROR(INDEX('Sheet1 - Given Sheet'!$E:$E, MATCH(A9, 'Sheet1 - Given Sheet'!$J:$J, 0)), "Not Found")</f>
        <v>Home Appliances</v>
      </c>
      <c r="C9" t="s">
        <v>182</v>
      </c>
    </row>
    <row r="10" spans="1:3" x14ac:dyDescent="0.3">
      <c r="A10" t="s">
        <v>147</v>
      </c>
      <c r="B10" t="str">
        <f>IFERROR(INDEX('Sheet1 - Given Sheet'!$E:$E, MATCH(A10, 'Sheet1 - Given Sheet'!$J:$J, 0)), "Not Found")</f>
        <v>Groceries</v>
      </c>
      <c r="C10" t="s">
        <v>127</v>
      </c>
    </row>
    <row r="11" spans="1:3" x14ac:dyDescent="0.3">
      <c r="A11" t="s">
        <v>148</v>
      </c>
      <c r="B11" t="str">
        <f>IFERROR(INDEX('Sheet1 - Given Sheet'!$E:$E, MATCH(A11, 'Sheet1 - Given Sheet'!$J:$J, 0)), "Not Found")</f>
        <v>Groceries</v>
      </c>
      <c r="C11" t="s">
        <v>128</v>
      </c>
    </row>
    <row r="12" spans="1:3" x14ac:dyDescent="0.3">
      <c r="A12" t="s">
        <v>149</v>
      </c>
      <c r="B12" t="str">
        <f>IFERROR(INDEX('Sheet1 - Given Sheet'!$E:$E, MATCH(A12, 'Sheet1 - Given Sheet'!$J:$J, 0)), "Not Found")</f>
        <v>Electronics</v>
      </c>
      <c r="C12" t="s">
        <v>129</v>
      </c>
    </row>
    <row r="13" spans="1:3" x14ac:dyDescent="0.3">
      <c r="A13" t="s">
        <v>150</v>
      </c>
      <c r="B13" t="str">
        <f>IFERROR(INDEX('Sheet1 - Given Sheet'!$E:$E, MATCH(A13, 'Sheet1 - Given Sheet'!$J:$J, 0)), "Not Found")</f>
        <v>Fashion</v>
      </c>
      <c r="C13" t="s">
        <v>130</v>
      </c>
    </row>
    <row r="14" spans="1:3" x14ac:dyDescent="0.3">
      <c r="A14" t="s">
        <v>151</v>
      </c>
      <c r="B14" t="str">
        <f>IFERROR(INDEX('Sheet1 - Given Sheet'!$E:$E, MATCH(A14, 'Sheet1 - Given Sheet'!$J:$J, 0)), "Not Found")</f>
        <v>Home Appliances</v>
      </c>
      <c r="C14" t="s">
        <v>131</v>
      </c>
    </row>
    <row r="15" spans="1:3" x14ac:dyDescent="0.3">
      <c r="A15" t="s">
        <v>152</v>
      </c>
      <c r="B15" t="str">
        <f>IFERROR(INDEX('Sheet1 - Given Sheet'!$E:$E, MATCH(A15, 'Sheet1 - Given Sheet'!$J:$J, 0)), "Not Found")</f>
        <v>Books</v>
      </c>
      <c r="C15" t="s">
        <v>132</v>
      </c>
    </row>
    <row r="16" spans="1:3" x14ac:dyDescent="0.3">
      <c r="A16" t="s">
        <v>153</v>
      </c>
      <c r="B16" t="str">
        <f>IFERROR(INDEX('Sheet1 - Given Sheet'!$E:$E, MATCH(A16, 'Sheet1 - Given Sheet'!$J:$J, 0)), "Not Found")</f>
        <v>Groceries</v>
      </c>
      <c r="C16" t="s">
        <v>133</v>
      </c>
    </row>
    <row r="17" spans="1:3" x14ac:dyDescent="0.3">
      <c r="A17" t="s">
        <v>154</v>
      </c>
      <c r="B17" t="str">
        <f>IFERROR(INDEX('Sheet1 - Given Sheet'!$E:$E, MATCH(A17, 'Sheet1 - Given Sheet'!$J:$J, 0)), "Not Found")</f>
        <v>Electronics</v>
      </c>
      <c r="C17" t="s">
        <v>134</v>
      </c>
    </row>
    <row r="18" spans="1:3" x14ac:dyDescent="0.3">
      <c r="A18" t="s">
        <v>155</v>
      </c>
      <c r="B18" t="str">
        <f>IFERROR(INDEX('Sheet1 - Given Sheet'!$E:$E, MATCH(A18, 'Sheet1 - Given Sheet'!$J:$J, 0)), "Not Found")</f>
        <v>Fashion</v>
      </c>
      <c r="C18" t="s">
        <v>135</v>
      </c>
    </row>
    <row r="19" spans="1:3" x14ac:dyDescent="0.3">
      <c r="A19" t="s">
        <v>156</v>
      </c>
      <c r="B19" t="str">
        <f>IFERROR(INDEX('Sheet1 - Given Sheet'!$E:$E, MATCH(A19, 'Sheet1 - Given Sheet'!$J:$J, 0)), "Not Found")</f>
        <v>Home Appliances</v>
      </c>
      <c r="C19" t="s">
        <v>136</v>
      </c>
    </row>
    <row r="20" spans="1:3" x14ac:dyDescent="0.3">
      <c r="A20" t="s">
        <v>157</v>
      </c>
      <c r="B20" t="str">
        <f>IFERROR(INDEX('Sheet1 - Given Sheet'!$E:$E, MATCH(A20, 'Sheet1 - Given Sheet'!$J:$J, 0)), "Not Found")</f>
        <v>Electronics</v>
      </c>
      <c r="C20" t="s">
        <v>137</v>
      </c>
    </row>
    <row r="21" spans="1:3" x14ac:dyDescent="0.3">
      <c r="A21" t="s">
        <v>158</v>
      </c>
      <c r="B21" t="str">
        <f>IFERROR(INDEX('Sheet1 - Given Sheet'!$E:$E, MATCH(A21, 'Sheet1 - Given Sheet'!$J:$J, 0)), "Not Found")</f>
        <v>Electronics</v>
      </c>
      <c r="C21" t="s">
        <v>138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B1631F-EC04-4322-8F90-A2245AEA780D}">
  <dimension ref="A1:H22"/>
  <sheetViews>
    <sheetView workbookViewId="0">
      <selection activeCell="B3" sqref="B3"/>
    </sheetView>
  </sheetViews>
  <sheetFormatPr defaultRowHeight="14.4" x14ac:dyDescent="0.3"/>
  <cols>
    <col min="1" max="1" width="15.44140625" bestFit="1" customWidth="1"/>
    <col min="2" max="2" width="10.109375" bestFit="1" customWidth="1"/>
    <col min="3" max="3" width="17.21875" bestFit="1" customWidth="1"/>
    <col min="7" max="7" width="12" bestFit="1" customWidth="1"/>
  </cols>
  <sheetData>
    <row r="1" spans="1:3" x14ac:dyDescent="0.3">
      <c r="A1" s="6" t="s">
        <v>5</v>
      </c>
      <c r="B1" t="s">
        <v>9</v>
      </c>
      <c r="C1" t="s">
        <v>184</v>
      </c>
    </row>
    <row r="2" spans="1:3" x14ac:dyDescent="0.3">
      <c r="A2" t="s">
        <v>119</v>
      </c>
      <c r="B2" t="str">
        <f>IFERROR(INDEX('Sheet1 - Given Sheet'!$J:$J, MATCH(A2, 'Sheet1 - Given Sheet'!$F:$F, 0)), "Not Found")</f>
        <v>P001</v>
      </c>
      <c r="C2">
        <f>AVERAGEIF('Sheet1 - Given Sheet'!$F:$F, A2, 'Sheet1 - Given Sheet'!$H:$H)</f>
        <v>2224.994516129032</v>
      </c>
    </row>
    <row r="3" spans="1:3" x14ac:dyDescent="0.3">
      <c r="A3" t="s">
        <v>120</v>
      </c>
      <c r="B3" t="str">
        <f>IFERROR(INDEX('Sheet1 - Given Sheet'!$J:$J, MATCH(A3, 'Sheet1 - Given Sheet'!$F:$F, 0)), "Not Found")</f>
        <v>P002</v>
      </c>
      <c r="C3">
        <f>AVERAGEIF('Sheet1 - Given Sheet'!$F:$F, A3, 'Sheet1 - Given Sheet'!$H:$H)</f>
        <v>2422.1347826086953</v>
      </c>
    </row>
    <row r="4" spans="1:3" x14ac:dyDescent="0.3">
      <c r="A4" t="s">
        <v>121</v>
      </c>
      <c r="B4" t="str">
        <f>IFERROR(INDEX('Sheet1 - Given Sheet'!$J:$J, MATCH(A4, 'Sheet1 - Given Sheet'!$F:$F, 0)), "Not Found")</f>
        <v>P003</v>
      </c>
      <c r="C4">
        <f>AVERAGEIF('Sheet1 - Given Sheet'!$F:$F, A4, 'Sheet1 - Given Sheet'!$H:$H)</f>
        <v>2726.377931034483</v>
      </c>
    </row>
    <row r="5" spans="1:3" x14ac:dyDescent="0.3">
      <c r="A5" t="s">
        <v>122</v>
      </c>
      <c r="B5" t="str">
        <f>IFERROR(INDEX('Sheet1 - Given Sheet'!$J:$J, MATCH(A5, 'Sheet1 - Given Sheet'!$F:$F, 0)), "Not Found")</f>
        <v>P004</v>
      </c>
      <c r="C5">
        <f>AVERAGEIF('Sheet1 - Given Sheet'!$F:$F, A5, 'Sheet1 - Given Sheet'!$H:$H)</f>
        <v>2355.443571428571</v>
      </c>
    </row>
    <row r="6" spans="1:3" x14ac:dyDescent="0.3">
      <c r="A6" t="s">
        <v>123</v>
      </c>
      <c r="B6" t="str">
        <f>IFERROR(INDEX('Sheet1 - Given Sheet'!$J:$J, MATCH(A6, 'Sheet1 - Given Sheet'!$F:$F, 0)), "Not Found")</f>
        <v>P005</v>
      </c>
      <c r="C6">
        <f>AVERAGEIF('Sheet1 - Given Sheet'!$F:$F, A6, 'Sheet1 - Given Sheet'!$H:$H)</f>
        <v>2600.0175999999997</v>
      </c>
    </row>
    <row r="7" spans="1:3" x14ac:dyDescent="0.3">
      <c r="A7" t="s">
        <v>124</v>
      </c>
      <c r="B7" t="str">
        <f>IFERROR(INDEX('Sheet1 - Given Sheet'!$J:$J, MATCH(A7, 'Sheet1 - Given Sheet'!$F:$F, 0)), "Not Found")</f>
        <v>P006</v>
      </c>
      <c r="C7">
        <f>AVERAGEIF('Sheet1 - Given Sheet'!$F:$F, A7, 'Sheet1 - Given Sheet'!$H:$H)</f>
        <v>2660.6129166666665</v>
      </c>
    </row>
    <row r="8" spans="1:3" x14ac:dyDescent="0.3">
      <c r="A8" t="s">
        <v>125</v>
      </c>
      <c r="B8" t="str">
        <f>IFERROR(INDEX('Sheet1 - Given Sheet'!$J:$J, MATCH(A8, 'Sheet1 - Given Sheet'!$F:$F, 0)), "Not Found")</f>
        <v>P007</v>
      </c>
      <c r="C8">
        <f>AVERAGEIF('Sheet1 - Given Sheet'!$F:$F, A8, 'Sheet1 - Given Sheet'!$H:$H)</f>
        <v>2641.3300000000004</v>
      </c>
    </row>
    <row r="9" spans="1:3" x14ac:dyDescent="0.3">
      <c r="A9" t="s">
        <v>126</v>
      </c>
      <c r="B9" t="str">
        <f>IFERROR(INDEX('Sheet1 - Given Sheet'!$J:$J, MATCH(A9, 'Sheet1 - Given Sheet'!$F:$F, 0)), "Not Found")</f>
        <v>P008</v>
      </c>
      <c r="C9">
        <f>AVERAGEIF('Sheet1 - Given Sheet'!$F:$F, A9, 'Sheet1 - Given Sheet'!$H:$H)</f>
        <v>2389.4928571428568</v>
      </c>
    </row>
    <row r="10" spans="1:3" x14ac:dyDescent="0.3">
      <c r="A10" t="s">
        <v>127</v>
      </c>
      <c r="B10" t="str">
        <f>IFERROR(INDEX('Sheet1 - Given Sheet'!$J:$J, MATCH(A10, 'Sheet1 - Given Sheet'!$F:$F, 0)), "Not Found")</f>
        <v>P009</v>
      </c>
      <c r="C10">
        <f>AVERAGEIF('Sheet1 - Given Sheet'!$F:$F, A10, 'Sheet1 - Given Sheet'!$H:$H)</f>
        <v>2514.7392307692303</v>
      </c>
    </row>
    <row r="11" spans="1:3" x14ac:dyDescent="0.3">
      <c r="A11" t="s">
        <v>128</v>
      </c>
      <c r="B11" t="str">
        <f>IFERROR(INDEX('Sheet1 - Given Sheet'!$J:$J, MATCH(A11, 'Sheet1 - Given Sheet'!$F:$F, 0)), "Not Found")</f>
        <v>P010</v>
      </c>
      <c r="C11">
        <f>AVERAGEIF('Sheet1 - Given Sheet'!$F:$F, A11, 'Sheet1 - Given Sheet'!$H:$H)</f>
        <v>2124.3063333333334</v>
      </c>
    </row>
    <row r="12" spans="1:3" x14ac:dyDescent="0.3">
      <c r="A12" t="s">
        <v>129</v>
      </c>
      <c r="B12" t="str">
        <f>IFERROR(INDEX('Sheet1 - Given Sheet'!$J:$J, MATCH(A12, 'Sheet1 - Given Sheet'!$F:$F, 0)), "Not Found")</f>
        <v>P011</v>
      </c>
      <c r="C12">
        <f>AVERAGEIF('Sheet1 - Given Sheet'!$F:$F, A12, 'Sheet1 - Given Sheet'!$H:$H)</f>
        <v>2255.1473076923075</v>
      </c>
    </row>
    <row r="13" spans="1:3" x14ac:dyDescent="0.3">
      <c r="A13" t="s">
        <v>130</v>
      </c>
      <c r="B13" t="str">
        <f>IFERROR(INDEX('Sheet1 - Given Sheet'!$J:$J, MATCH(A13, 'Sheet1 - Given Sheet'!$F:$F, 0)), "Not Found")</f>
        <v>P012</v>
      </c>
      <c r="C13">
        <f>AVERAGEIF('Sheet1 - Given Sheet'!$F:$F, A13, 'Sheet1 - Given Sheet'!$H:$H)</f>
        <v>2647.9060000000004</v>
      </c>
    </row>
    <row r="14" spans="1:3" x14ac:dyDescent="0.3">
      <c r="A14" t="s">
        <v>131</v>
      </c>
      <c r="B14" t="str">
        <f>IFERROR(INDEX('Sheet1 - Given Sheet'!$J:$J, MATCH(A14, 'Sheet1 - Given Sheet'!$F:$F, 0)), "Not Found")</f>
        <v>P013</v>
      </c>
      <c r="C14">
        <f>AVERAGEIF('Sheet1 - Given Sheet'!$F:$F, A14, 'Sheet1 - Given Sheet'!$H:$H)</f>
        <v>2904.0816666666665</v>
      </c>
    </row>
    <row r="15" spans="1:3" x14ac:dyDescent="0.3">
      <c r="A15" t="s">
        <v>132</v>
      </c>
      <c r="B15" t="str">
        <f>IFERROR(INDEX('Sheet1 - Given Sheet'!$J:$J, MATCH(A15, 'Sheet1 - Given Sheet'!$F:$F, 0)), "Not Found")</f>
        <v>P014</v>
      </c>
      <c r="C15">
        <f>AVERAGEIF('Sheet1 - Given Sheet'!$F:$F, A15, 'Sheet1 - Given Sheet'!$H:$H)</f>
        <v>2630.9092857142855</v>
      </c>
    </row>
    <row r="16" spans="1:3" x14ac:dyDescent="0.3">
      <c r="A16" t="s">
        <v>133</v>
      </c>
      <c r="B16" t="str">
        <f>IFERROR(INDEX('Sheet1 - Given Sheet'!$J:$J, MATCH(A16, 'Sheet1 - Given Sheet'!$F:$F, 0)), "Not Found")</f>
        <v>P015</v>
      </c>
      <c r="C16">
        <f>AVERAGEIF('Sheet1 - Given Sheet'!$F:$F, A16, 'Sheet1 - Given Sheet'!$H:$H)</f>
        <v>2826.8924999999999</v>
      </c>
    </row>
    <row r="17" spans="1:8" x14ac:dyDescent="0.3">
      <c r="A17" t="s">
        <v>134</v>
      </c>
      <c r="B17" t="str">
        <f>IFERROR(INDEX('Sheet1 - Given Sheet'!$J:$J, MATCH(A17, 'Sheet1 - Given Sheet'!$F:$F, 0)), "Not Found")</f>
        <v>P016</v>
      </c>
      <c r="C17">
        <f>AVERAGEIF('Sheet1 - Given Sheet'!$F:$F, A17, 'Sheet1 - Given Sheet'!$H:$H)</f>
        <v>2524.8877419354831</v>
      </c>
    </row>
    <row r="18" spans="1:8" x14ac:dyDescent="0.3">
      <c r="A18" t="s">
        <v>135</v>
      </c>
      <c r="B18" t="str">
        <f>IFERROR(INDEX('Sheet1 - Given Sheet'!$J:$J, MATCH(A18, 'Sheet1 - Given Sheet'!$F:$F, 0)), "Not Found")</f>
        <v>P017</v>
      </c>
      <c r="C18">
        <f>AVERAGEIF('Sheet1 - Given Sheet'!$F:$F, A18, 'Sheet1 - Given Sheet'!$H:$H)</f>
        <v>2426.2257142857143</v>
      </c>
    </row>
    <row r="19" spans="1:8" x14ac:dyDescent="0.3">
      <c r="A19" t="s">
        <v>136</v>
      </c>
      <c r="B19" t="str">
        <f>IFERROR(INDEX('Sheet1 - Given Sheet'!$J:$J, MATCH(A19, 'Sheet1 - Given Sheet'!$F:$F, 0)), "Not Found")</f>
        <v>P018</v>
      </c>
      <c r="C19">
        <f>AVERAGEIF('Sheet1 - Given Sheet'!$F:$F, A19, 'Sheet1 - Given Sheet'!$H:$H)</f>
        <v>2478.4658333333332</v>
      </c>
    </row>
    <row r="20" spans="1:8" x14ac:dyDescent="0.3">
      <c r="A20" t="s">
        <v>137</v>
      </c>
      <c r="B20" t="str">
        <f>IFERROR(INDEX('Sheet1 - Given Sheet'!$J:$J, MATCH(A20, 'Sheet1 - Given Sheet'!$F:$F, 0)), "Not Found")</f>
        <v>P019</v>
      </c>
      <c r="C20">
        <f>AVERAGEIF('Sheet1 - Given Sheet'!$F:$F, A20, 'Sheet1 - Given Sheet'!$H:$H)</f>
        <v>2221.1347368421048</v>
      </c>
    </row>
    <row r="21" spans="1:8" x14ac:dyDescent="0.3">
      <c r="A21" t="s">
        <v>138</v>
      </c>
      <c r="B21" t="str">
        <f>IFERROR(INDEX('Sheet1 - Given Sheet'!$J:$J, MATCH(A21, 'Sheet1 - Given Sheet'!$F:$F, 0)), "Not Found")</f>
        <v>P020</v>
      </c>
      <c r="C21">
        <f>AVERAGEIF('Sheet1 - Given Sheet'!$F:$F, A21, 'Sheet1 - Given Sheet'!$H:$H)</f>
        <v>2328.5688888888885</v>
      </c>
    </row>
    <row r="22" spans="1:8" x14ac:dyDescent="0.3">
      <c r="G22" t="s">
        <v>215</v>
      </c>
      <c r="H22">
        <f>SUM(C2:C21)</f>
        <v>49903.669414471653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08CE0F-0767-426A-AA1D-F570A72317F4}">
  <dimension ref="A1:G11"/>
  <sheetViews>
    <sheetView workbookViewId="0">
      <selection activeCell="K17" sqref="K17"/>
    </sheetView>
  </sheetViews>
  <sheetFormatPr defaultRowHeight="14.4" x14ac:dyDescent="0.3"/>
  <cols>
    <col min="1" max="1" width="19.77734375" bestFit="1" customWidth="1"/>
    <col min="2" max="2" width="15.5546875" bestFit="1" customWidth="1"/>
    <col min="3" max="5" width="11" bestFit="1" customWidth="1"/>
    <col min="6" max="6" width="7" bestFit="1" customWidth="1"/>
    <col min="7" max="7" width="11" bestFit="1" customWidth="1"/>
  </cols>
  <sheetData>
    <row r="1" spans="1:7" ht="15.6" x14ac:dyDescent="0.3">
      <c r="A1" s="9" t="s">
        <v>197</v>
      </c>
    </row>
    <row r="3" spans="1:7" x14ac:dyDescent="0.3">
      <c r="A3" s="3" t="s">
        <v>163</v>
      </c>
      <c r="B3" s="3" t="s">
        <v>189</v>
      </c>
    </row>
    <row r="4" spans="1:7" x14ac:dyDescent="0.3">
      <c r="A4" s="3" t="s">
        <v>161</v>
      </c>
      <c r="B4" t="s">
        <v>111</v>
      </c>
      <c r="C4" t="s">
        <v>113</v>
      </c>
      <c r="D4" t="s">
        <v>112</v>
      </c>
      <c r="E4" t="s">
        <v>110</v>
      </c>
      <c r="F4" t="s">
        <v>185</v>
      </c>
      <c r="G4" t="s">
        <v>162</v>
      </c>
    </row>
    <row r="5" spans="1:7" x14ac:dyDescent="0.3">
      <c r="A5" s="4" t="s">
        <v>114</v>
      </c>
      <c r="B5">
        <v>340957.76</v>
      </c>
      <c r="C5">
        <v>331455.75999999989</v>
      </c>
      <c r="D5">
        <v>451937.72</v>
      </c>
      <c r="E5">
        <v>324521.93000000005</v>
      </c>
      <c r="G5">
        <v>1448873.17</v>
      </c>
    </row>
    <row r="6" spans="1:7" x14ac:dyDescent="0.3">
      <c r="A6" s="4" t="s">
        <v>117</v>
      </c>
      <c r="B6">
        <v>444162.66</v>
      </c>
      <c r="C6">
        <v>341875.07999999996</v>
      </c>
      <c r="D6">
        <v>280981.19999999995</v>
      </c>
      <c r="E6">
        <v>304209.79000000004</v>
      </c>
      <c r="G6">
        <v>1371228.73</v>
      </c>
    </row>
    <row r="7" spans="1:7" x14ac:dyDescent="0.3">
      <c r="A7" s="4" t="s">
        <v>118</v>
      </c>
      <c r="B7">
        <v>221287.38999999998</v>
      </c>
      <c r="C7">
        <v>273441.22000000009</v>
      </c>
      <c r="D7">
        <v>399405.20999999996</v>
      </c>
      <c r="E7">
        <v>310164.02</v>
      </c>
      <c r="G7">
        <v>1204297.8400000001</v>
      </c>
    </row>
    <row r="8" spans="1:7" x14ac:dyDescent="0.3">
      <c r="A8" s="4" t="s">
        <v>115</v>
      </c>
      <c r="B8">
        <v>261842.66999999995</v>
      </c>
      <c r="C8">
        <v>327099.65999999997</v>
      </c>
      <c r="D8">
        <v>262410.28999999998</v>
      </c>
      <c r="E8">
        <v>291772.37000000005</v>
      </c>
      <c r="G8">
        <v>1143124.99</v>
      </c>
    </row>
    <row r="9" spans="1:7" x14ac:dyDescent="0.3">
      <c r="A9" s="4" t="s">
        <v>116</v>
      </c>
      <c r="B9">
        <v>262002.22999999998</v>
      </c>
      <c r="C9">
        <v>225956.35</v>
      </c>
      <c r="D9">
        <v>308484.56999999995</v>
      </c>
      <c r="E9">
        <v>300014.28000000003</v>
      </c>
      <c r="G9">
        <v>1096457.43</v>
      </c>
    </row>
    <row r="10" spans="1:7" x14ac:dyDescent="0.3">
      <c r="A10" s="4" t="s">
        <v>185</v>
      </c>
    </row>
    <row r="11" spans="1:7" x14ac:dyDescent="0.3">
      <c r="A11" s="4" t="s">
        <v>162</v>
      </c>
      <c r="B11">
        <v>1530252.71</v>
      </c>
      <c r="C11">
        <v>1499828.0699999998</v>
      </c>
      <c r="D11">
        <v>1703218.9899999998</v>
      </c>
      <c r="E11">
        <v>1530682.3900000001</v>
      </c>
      <c r="G11">
        <v>6263982.1600000001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C2BA9C-38B1-4EE6-B3E8-C5D227F8BC73}">
  <dimension ref="A2:C62"/>
  <sheetViews>
    <sheetView workbookViewId="0">
      <selection activeCell="M59" sqref="M59"/>
    </sheetView>
  </sheetViews>
  <sheetFormatPr defaultRowHeight="14.4" x14ac:dyDescent="0.3"/>
  <cols>
    <col min="1" max="1" width="12.5546875" bestFit="1" customWidth="1"/>
    <col min="2" max="2" width="19.77734375" bestFit="1" customWidth="1"/>
    <col min="3" max="3" width="22.44140625" bestFit="1" customWidth="1"/>
    <col min="4" max="7" width="10" bestFit="1" customWidth="1"/>
    <col min="8" max="8" width="9" bestFit="1" customWidth="1"/>
    <col min="9" max="12" width="10" bestFit="1" customWidth="1"/>
    <col min="13" max="13" width="7" bestFit="1" customWidth="1"/>
    <col min="14" max="14" width="10.77734375" bestFit="1" customWidth="1"/>
  </cols>
  <sheetData>
    <row r="2" spans="1:2" x14ac:dyDescent="0.3">
      <c r="A2" t="s">
        <v>193</v>
      </c>
    </row>
    <row r="3" spans="1:2" x14ac:dyDescent="0.3">
      <c r="A3" s="3" t="s">
        <v>161</v>
      </c>
      <c r="B3" t="s">
        <v>163</v>
      </c>
    </row>
    <row r="4" spans="1:2" x14ac:dyDescent="0.3">
      <c r="A4" s="4" t="s">
        <v>111</v>
      </c>
      <c r="B4">
        <v>1530252.71</v>
      </c>
    </row>
    <row r="5" spans="1:2" x14ac:dyDescent="0.3">
      <c r="A5" s="4" t="s">
        <v>113</v>
      </c>
      <c r="B5">
        <v>1499828.07</v>
      </c>
    </row>
    <row r="6" spans="1:2" x14ac:dyDescent="0.3">
      <c r="A6" s="4" t="s">
        <v>112</v>
      </c>
      <c r="B6">
        <v>1703218.9900000002</v>
      </c>
    </row>
    <row r="7" spans="1:2" x14ac:dyDescent="0.3">
      <c r="A7" s="4" t="s">
        <v>110</v>
      </c>
      <c r="B7">
        <v>1530682.3900000001</v>
      </c>
    </row>
    <row r="8" spans="1:2" x14ac:dyDescent="0.3">
      <c r="A8" s="4" t="s">
        <v>185</v>
      </c>
    </row>
    <row r="9" spans="1:2" x14ac:dyDescent="0.3">
      <c r="A9" s="4" t="s">
        <v>162</v>
      </c>
      <c r="B9">
        <v>6263982.1600000001</v>
      </c>
    </row>
    <row r="18" spans="1:3" x14ac:dyDescent="0.3">
      <c r="A18" t="s">
        <v>192</v>
      </c>
    </row>
    <row r="20" spans="1:3" x14ac:dyDescent="0.3">
      <c r="A20" s="3" t="s">
        <v>161</v>
      </c>
      <c r="B20" t="s">
        <v>190</v>
      </c>
      <c r="C20" t="s">
        <v>191</v>
      </c>
    </row>
    <row r="21" spans="1:3" x14ac:dyDescent="0.3">
      <c r="A21" s="4" t="s">
        <v>167</v>
      </c>
      <c r="B21">
        <v>796530.73999999964</v>
      </c>
      <c r="C21">
        <v>0</v>
      </c>
    </row>
    <row r="22" spans="1:3" x14ac:dyDescent="0.3">
      <c r="A22" s="4" t="s">
        <v>168</v>
      </c>
      <c r="B22">
        <v>579576.01</v>
      </c>
      <c r="C22">
        <v>-37.433352357010023</v>
      </c>
    </row>
    <row r="23" spans="1:3" x14ac:dyDescent="0.3">
      <c r="A23" s="4" t="s">
        <v>169</v>
      </c>
      <c r="B23">
        <v>527151.06000000017</v>
      </c>
      <c r="C23">
        <v>-9.9449577128802176</v>
      </c>
    </row>
    <row r="24" spans="1:3" x14ac:dyDescent="0.3">
      <c r="A24" s="4" t="s">
        <v>170</v>
      </c>
      <c r="B24">
        <v>603609.10999999987</v>
      </c>
      <c r="C24">
        <v>12.666815118148186</v>
      </c>
    </row>
    <row r="25" spans="1:3" x14ac:dyDescent="0.3">
      <c r="A25" s="4" t="s">
        <v>171</v>
      </c>
      <c r="B25">
        <v>605913.90000000014</v>
      </c>
      <c r="C25">
        <v>0.38038242727230215</v>
      </c>
    </row>
    <row r="26" spans="1:3" x14ac:dyDescent="0.3">
      <c r="A26" s="4" t="s">
        <v>172</v>
      </c>
      <c r="B26">
        <v>700538.82000000018</v>
      </c>
      <c r="C26">
        <v>13.507448452321317</v>
      </c>
    </row>
    <row r="27" spans="1:3" x14ac:dyDescent="0.3">
      <c r="A27" s="4" t="s">
        <v>173</v>
      </c>
      <c r="B27">
        <v>487514.80000000016</v>
      </c>
      <c r="C27">
        <v>-43.695908308834916</v>
      </c>
    </row>
    <row r="28" spans="1:3" x14ac:dyDescent="0.3">
      <c r="A28" s="4" t="s">
        <v>174</v>
      </c>
      <c r="B28">
        <v>584660.41</v>
      </c>
      <c r="C28">
        <v>16.615732541219931</v>
      </c>
    </row>
    <row r="29" spans="1:3" x14ac:dyDescent="0.3">
      <c r="A29" s="4" t="s">
        <v>175</v>
      </c>
      <c r="B29">
        <v>730754.04000000015</v>
      </c>
      <c r="C29">
        <v>19.992175479454083</v>
      </c>
    </row>
    <row r="30" spans="1:3" x14ac:dyDescent="0.3">
      <c r="A30" s="4" t="s">
        <v>176</v>
      </c>
      <c r="B30">
        <v>647733.27</v>
      </c>
      <c r="C30">
        <v>-12.817123011143172</v>
      </c>
    </row>
    <row r="31" spans="1:3" x14ac:dyDescent="0.3">
      <c r="A31" s="4" t="s">
        <v>177</v>
      </c>
      <c r="B31">
        <v>0</v>
      </c>
      <c r="C31" t="e">
        <v>#DIV/0!</v>
      </c>
    </row>
    <row r="32" spans="1:3" x14ac:dyDescent="0.3">
      <c r="A32" s="4" t="s">
        <v>178</v>
      </c>
      <c r="B32">
        <v>0</v>
      </c>
      <c r="C32" t="e">
        <v>#DIV/0!</v>
      </c>
    </row>
    <row r="33" spans="1:3" x14ac:dyDescent="0.3">
      <c r="A33" s="4" t="s">
        <v>185</v>
      </c>
    </row>
    <row r="34" spans="1:3" x14ac:dyDescent="0.3">
      <c r="A34" s="4" t="s">
        <v>162</v>
      </c>
      <c r="B34">
        <v>6263982.1600000001</v>
      </c>
      <c r="C34" t="e">
        <v>#DIV/0!</v>
      </c>
    </row>
    <row r="38" spans="1:3" x14ac:dyDescent="0.3">
      <c r="A38" t="s">
        <v>194</v>
      </c>
    </row>
    <row r="40" spans="1:3" x14ac:dyDescent="0.3">
      <c r="A40" s="3" t="s">
        <v>161</v>
      </c>
      <c r="B40" t="s">
        <v>163</v>
      </c>
    </row>
    <row r="41" spans="1:3" x14ac:dyDescent="0.3">
      <c r="A41" s="4" t="s">
        <v>114</v>
      </c>
      <c r="B41">
        <v>1448873.1700000011</v>
      </c>
    </row>
    <row r="42" spans="1:3" x14ac:dyDescent="0.3">
      <c r="A42" s="4" t="s">
        <v>117</v>
      </c>
      <c r="B42">
        <v>1371228.73</v>
      </c>
    </row>
    <row r="43" spans="1:3" x14ac:dyDescent="0.3">
      <c r="A43" s="4" t="s">
        <v>118</v>
      </c>
      <c r="B43">
        <v>1204297.8400000005</v>
      </c>
    </row>
    <row r="44" spans="1:3" x14ac:dyDescent="0.3">
      <c r="A44" s="4" t="s">
        <v>115</v>
      </c>
      <c r="B44">
        <v>1143124.9900000002</v>
      </c>
    </row>
    <row r="45" spans="1:3" x14ac:dyDescent="0.3">
      <c r="A45" s="4" t="s">
        <v>116</v>
      </c>
      <c r="B45">
        <v>1096457.4300000002</v>
      </c>
    </row>
    <row r="46" spans="1:3" x14ac:dyDescent="0.3">
      <c r="A46" s="4" t="s">
        <v>185</v>
      </c>
    </row>
    <row r="47" spans="1:3" x14ac:dyDescent="0.3">
      <c r="A47" s="4" t="s">
        <v>162</v>
      </c>
      <c r="B47">
        <v>6263982.160000002</v>
      </c>
    </row>
    <row r="55" spans="1:2" x14ac:dyDescent="0.3">
      <c r="A55" t="s">
        <v>195</v>
      </c>
    </row>
    <row r="56" spans="1:2" x14ac:dyDescent="0.3">
      <c r="A56" s="3" t="s">
        <v>161</v>
      </c>
      <c r="B56" t="s">
        <v>163</v>
      </c>
    </row>
    <row r="57" spans="1:2" x14ac:dyDescent="0.3">
      <c r="A57" s="4" t="s">
        <v>121</v>
      </c>
      <c r="B57">
        <v>473835.58999999991</v>
      </c>
    </row>
    <row r="58" spans="1:2" x14ac:dyDescent="0.3">
      <c r="A58" s="4" t="s">
        <v>128</v>
      </c>
      <c r="B58">
        <v>405999.28</v>
      </c>
    </row>
    <row r="59" spans="1:2" x14ac:dyDescent="0.3">
      <c r="A59" s="4" t="s">
        <v>134</v>
      </c>
      <c r="B59">
        <v>391800.59000000008</v>
      </c>
    </row>
    <row r="60" spans="1:2" x14ac:dyDescent="0.3">
      <c r="A60" s="4" t="s">
        <v>132</v>
      </c>
      <c r="B60">
        <v>361813.98</v>
      </c>
    </row>
    <row r="61" spans="1:2" x14ac:dyDescent="0.3">
      <c r="A61" s="4" t="s">
        <v>130</v>
      </c>
      <c r="B61">
        <v>349824.67000000004</v>
      </c>
    </row>
    <row r="62" spans="1:2" x14ac:dyDescent="0.3">
      <c r="A62" s="4" t="s">
        <v>162</v>
      </c>
      <c r="B62">
        <v>1983274.1099999999</v>
      </c>
    </row>
  </sheetData>
  <pageMargins left="0.7" right="0.7" top="0.75" bottom="0.75" header="0.3" footer="0.3"/>
  <drawing r:id="rId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702807-0BBC-47AB-9936-9546E57BED82}">
  <dimension ref="A1"/>
  <sheetViews>
    <sheetView workbookViewId="0">
      <selection activeCell="U12" sqref="U12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269ABC-D4A0-4ABD-9EC4-7E9801005FF7}">
  <dimension ref="A2:B34"/>
  <sheetViews>
    <sheetView workbookViewId="0">
      <selection activeCell="E14" sqref="E14"/>
    </sheetView>
  </sheetViews>
  <sheetFormatPr defaultRowHeight="14.4" x14ac:dyDescent="0.3"/>
  <cols>
    <col min="1" max="1" width="28.88671875" bestFit="1" customWidth="1"/>
    <col min="2" max="2" width="24.21875" style="10" bestFit="1" customWidth="1"/>
  </cols>
  <sheetData>
    <row r="2" spans="1:2" x14ac:dyDescent="0.3">
      <c r="A2" s="13" t="s">
        <v>159</v>
      </c>
      <c r="B2" s="10">
        <f>ROUND(SUM('Sheet1 - Given Sheet'!I:I),2)</f>
        <v>6263982.1600000001</v>
      </c>
    </row>
    <row r="3" spans="1:2" x14ac:dyDescent="0.3">
      <c r="A3" s="13" t="s">
        <v>198</v>
      </c>
      <c r="B3" s="10" t="s">
        <v>199</v>
      </c>
    </row>
    <row r="4" spans="1:2" x14ac:dyDescent="0.3">
      <c r="A4" s="13"/>
    </row>
    <row r="5" spans="1:2" x14ac:dyDescent="0.3">
      <c r="A5" s="13" t="s">
        <v>200</v>
      </c>
      <c r="B5" s="10" t="s">
        <v>112</v>
      </c>
    </row>
    <row r="6" spans="1:2" x14ac:dyDescent="0.3">
      <c r="A6" s="13" t="s">
        <v>201</v>
      </c>
      <c r="B6" s="10">
        <v>27.19</v>
      </c>
    </row>
    <row r="7" spans="1:2" x14ac:dyDescent="0.3">
      <c r="A7" s="13"/>
    </row>
    <row r="8" spans="1:2" x14ac:dyDescent="0.3">
      <c r="A8" s="13" t="s">
        <v>202</v>
      </c>
      <c r="B8" s="10" t="s">
        <v>114</v>
      </c>
    </row>
    <row r="9" spans="1:2" x14ac:dyDescent="0.3">
      <c r="A9" s="13" t="s">
        <v>203</v>
      </c>
      <c r="B9" s="10">
        <v>1448873.17</v>
      </c>
    </row>
    <row r="10" spans="1:2" x14ac:dyDescent="0.3">
      <c r="A10" s="13"/>
    </row>
    <row r="11" spans="1:2" x14ac:dyDescent="0.3">
      <c r="A11" s="13" t="s">
        <v>204</v>
      </c>
    </row>
    <row r="12" spans="1:2" x14ac:dyDescent="0.3">
      <c r="A12" s="5" t="s">
        <v>205</v>
      </c>
      <c r="B12" s="11" t="s">
        <v>164</v>
      </c>
    </row>
    <row r="13" spans="1:2" x14ac:dyDescent="0.3">
      <c r="A13" s="14" t="s">
        <v>121</v>
      </c>
      <c r="B13" s="12">
        <v>473835.58999999991</v>
      </c>
    </row>
    <row r="14" spans="1:2" x14ac:dyDescent="0.3">
      <c r="A14" s="14" t="s">
        <v>128</v>
      </c>
      <c r="B14" s="12">
        <v>405999.28</v>
      </c>
    </row>
    <row r="15" spans="1:2" x14ac:dyDescent="0.3">
      <c r="A15" s="14" t="s">
        <v>134</v>
      </c>
      <c r="B15" s="12">
        <v>391800.59000000008</v>
      </c>
    </row>
    <row r="16" spans="1:2" x14ac:dyDescent="0.3">
      <c r="A16" s="14" t="s">
        <v>132</v>
      </c>
      <c r="B16" s="12">
        <v>361813.98</v>
      </c>
    </row>
    <row r="17" spans="1:2" x14ac:dyDescent="0.3">
      <c r="A17" s="14" t="s">
        <v>130</v>
      </c>
      <c r="B17" s="12">
        <v>349824.67000000004</v>
      </c>
    </row>
    <row r="19" spans="1:2" x14ac:dyDescent="0.3">
      <c r="A19" s="14" t="s">
        <v>206</v>
      </c>
    </row>
    <row r="20" spans="1:2" x14ac:dyDescent="0.3">
      <c r="A20" s="14" t="s">
        <v>207</v>
      </c>
      <c r="B20" s="10" t="s">
        <v>210</v>
      </c>
    </row>
    <row r="21" spans="1:2" x14ac:dyDescent="0.3">
      <c r="A21" s="14" t="s">
        <v>208</v>
      </c>
      <c r="B21" s="10" t="s">
        <v>211</v>
      </c>
    </row>
    <row r="22" spans="1:2" x14ac:dyDescent="0.3">
      <c r="A22" s="14" t="s">
        <v>209</v>
      </c>
      <c r="B22" s="10" t="s">
        <v>212</v>
      </c>
    </row>
    <row r="24" spans="1:2" x14ac:dyDescent="0.3">
      <c r="A24" s="14" t="s">
        <v>213</v>
      </c>
    </row>
    <row r="25" spans="1:2" x14ac:dyDescent="0.3">
      <c r="A25" s="14" t="s">
        <v>214</v>
      </c>
      <c r="B25" s="10" t="s">
        <v>20</v>
      </c>
    </row>
    <row r="26" spans="1:2" x14ac:dyDescent="0.3">
      <c r="A26" s="14" t="s">
        <v>216</v>
      </c>
      <c r="B26" s="10">
        <v>49903.67</v>
      </c>
    </row>
    <row r="28" spans="1:2" x14ac:dyDescent="0.3">
      <c r="A28" s="14" t="s">
        <v>217</v>
      </c>
    </row>
    <row r="29" spans="1:2" x14ac:dyDescent="0.3">
      <c r="A29" s="14" t="s">
        <v>114</v>
      </c>
      <c r="B29" s="15">
        <v>0.23130000000000001</v>
      </c>
    </row>
    <row r="30" spans="1:2" x14ac:dyDescent="0.3">
      <c r="A30" s="14" t="s">
        <v>118</v>
      </c>
      <c r="B30" s="15">
        <v>0.19220000000000001</v>
      </c>
    </row>
    <row r="32" spans="1:2" x14ac:dyDescent="0.3">
      <c r="A32" s="14" t="s">
        <v>218</v>
      </c>
    </row>
    <row r="33" spans="1:2" x14ac:dyDescent="0.3">
      <c r="A33" s="14" t="s">
        <v>219</v>
      </c>
      <c r="B33" s="10" t="s">
        <v>221</v>
      </c>
    </row>
    <row r="34" spans="1:2" x14ac:dyDescent="0.3">
      <c r="A34" s="14" t="s">
        <v>220</v>
      </c>
      <c r="B34" s="10" t="s">
        <v>222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Sheet1 - Given Sheet</vt:lpstr>
      <vt:lpstr>Analysis</vt:lpstr>
      <vt:lpstr>Product by Sales</vt:lpstr>
      <vt:lpstr>MOM_Growth</vt:lpstr>
      <vt:lpstr>Product_IDs Lookup Sheet</vt:lpstr>
      <vt:lpstr>Price Lookup</vt:lpstr>
      <vt:lpstr>Sales by Category and Region</vt:lpstr>
      <vt:lpstr>Visulaization</vt:lpstr>
      <vt:lpstr>Dashboard</vt:lpstr>
      <vt:lpstr>Key Insights and Analysis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VIJAY BHUSHAN SINGH</dc:creator>
  <cp:lastModifiedBy>Vijay Bhushan Singh</cp:lastModifiedBy>
  <dcterms:created xsi:type="dcterms:W3CDTF">2025-10-28T06:19:41Z</dcterms:created>
  <dcterms:modified xsi:type="dcterms:W3CDTF">2025-11-25T07:48:40Z</dcterms:modified>
</cp:coreProperties>
</file>